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117a9746a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db1902d7510e4de9"/>
    <x:sheet xmlns:r="http://schemas.openxmlformats.org/officeDocument/2006/relationships" name="Parts" sheetId="2" r:id="R0529b2bc973f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($#,##0.00);&quot;—&quot;"/>
    <x:numFmt numFmtId="201" formatCode="0.0%"/>
    <x:numFmt numFmtId="202" formatCode="mm/dd/yy"/>
  </x:numFmts>
  <x:fonts count="10">
    <x:font>
      <x:sz val="11"/>
      <x:name val="Carlito"/>
    </x:font>
    <x:font>
      <x:sz val="11"/>
      <x:color rgb="FF263445"/>
      <x:name val="Arial"/>
    </x:font>
    <x:font>
      <x:b/>
      <x:sz val="16"/>
      <x:color rgb="FF263445"/>
      <x:name val="Arial"/>
    </x:font>
    <x:font>
      <x:i/>
      <x:sz val="11"/>
      <x:color rgb="FF657184"/>
      <x:name val="Arial"/>
    </x:font>
    <x:font>
      <x:b/>
      <x:sz val="11"/>
      <x:color rgb="FFFFFFFF"/>
      <x:name val="Arial"/>
    </x:font>
    <x:font>
      <x:b/>
      <x:sz val="11"/>
      <x:color rgb="FF263445"/>
      <x:name val="Arial"/>
    </x:font>
    <x:font>
      <x:sz val="11"/>
      <x:color rgb="FF657184"/>
      <x:name val="Arial"/>
    </x:font>
    <x:font>
      <x:sz val="11"/>
      <x:color rgb="FF2458A6"/>
      <x:name val="Arial"/>
    </x:font>
    <x:font>
      <x:sz val="11"/>
      <x:color rgb="FF38659A"/>
      <x:name val="Arial"/>
    </x:font>
    <x:font>
      <x:sz val="11"/>
      <x:color rgb="FF2D755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65D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FFF3D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DD4DD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7" fillId="5" borderId="0" xfId="0" applyNumberFormat="1" applyFont="1" applyFill="1" applyBorder="1" applyAlignment="1">
      <x:alignment vertical="center" wrapText="1"/>
    </x:xf>
    <x:xf numFmtId="201" fontId="7" fillId="5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fb33d20a346c5" /><Relationship Type="http://schemas.openxmlformats.org/officeDocument/2006/relationships/theme" Target="/xl/theme/theme1.xml" Id="R3ccfa9e82a9d46e7" /><Relationship Type="http://schemas.openxmlformats.org/officeDocument/2006/relationships/sharedStrings" Target="/xl/sharedStrings.xml" Id="R8be2354121ed4d20" /><Relationship Type="http://schemas.openxmlformats.org/officeDocument/2006/relationships/worksheet" Target="/xl/worksheets/sheet1.xml" Id="Rdb1902d7510e4de9" /><Relationship Type="http://schemas.openxmlformats.org/officeDocument/2006/relationships/worksheet" Target="/xl/worksheets/sheet2.xml" Id="R0529b2bc973f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65D"/>
  </x:sheetPr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5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Auditory sound setup budget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October 9, 2026. USD. One sound channel. Existing lab neural recording chain.</x:v>
      </x:c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</x:row>
    <x:row r="4" ht="23" customHeight="1">
      <x:c r="A4" s="4" t="str">
        <x:v>Listing prices and planning allowances. The upper figures are scenarios, not supplier price limits.</x:v>
      </x:c>
      <x:c r="B4" s="4"/>
      <x:c r="C4" s="4"/>
      <x:c r="D4" s="4"/>
      <x:c r="E4" s="4"/>
      <x:c r="F4" s="4"/>
      <x:c r="G4" s="4"/>
      <x:c r="H4" s="4"/>
      <x:c r="I4" s="2"/>
      <x:c r="J4" s="2"/>
      <x:c r="K4" s="2"/>
      <x:c r="L4" s="2"/>
    </x:row>
    <x:row r="5" ht="23" customHeight="1">
      <x:c r="A5" s="24"/>
      <x:c r="B5" s="24"/>
      <x:c r="C5" s="24"/>
      <x:c r="D5" s="24"/>
      <x:c r="E5" s="24"/>
      <x:c r="F5" s="24"/>
      <x:c r="G5" s="24"/>
      <x:c r="H5" s="24"/>
      <x:c r="I5" s="2"/>
      <x:c r="J5" s="2"/>
      <x:c r="K5" s="2"/>
      <x:c r="L5" s="2"/>
    </x:row>
    <x:row r="6" ht="32" customHeight="1">
      <x:c r="A6" s="7" t="str">
        <x:v>Option</x:v>
      </x:c>
      <x:c r="B6" s="7" t="str">
        <x:v>Items low</x:v>
      </x:c>
      <x:c r="C6" s="7" t="str">
        <x:v>Reserve low</x:v>
      </x:c>
      <x:c r="D6" s="7" t="str">
        <x:v>Total low</x:v>
      </x:c>
      <x:c r="E6" s="7" t="str">
        <x:v>Items high</x:v>
      </x:c>
      <x:c r="F6" s="7" t="str">
        <x:v>Reserve high</x:v>
      </x:c>
      <x:c r="G6" s="7" t="str">
        <x:v>Total high</x:v>
      </x:c>
      <x:c r="H6" s="7" t="str">
        <x:v>Conditions</x:v>
      </x:c>
      <x:c r="I6" s="2"/>
      <x:c r="J6" s="2"/>
      <x:c r="K6" s="2"/>
      <x:c r="L6" s="2"/>
    </x:row>
    <x:row r="7" ht="55" customHeight="1">
      <x:c r="A7" s="2" t="str">
        <x:v>Minimum audible</x:v>
      </x:c>
      <x:c r="B7" s="9" t="n">
        <x:f>E24</x:f>
        <x:v>344.9</x:v>
      </x:c>
      <x:c r="C7" s="9" t="n">
        <x:f>E25</x:f>
        <x:v>80</x:v>
      </x:c>
      <x:c r="D7" s="12" t="n">
        <x:f>E26</x:f>
        <x:v>424.9</x:v>
      </x:c>
      <x:c r="E7" s="9" t="n">
        <x:f>F24</x:f>
        <x:v>344.9</x:v>
      </x:c>
      <x:c r="F7" s="9" t="n">
        <x:f>F25</x:f>
        <x:v>80</x:v>
      </x:c>
      <x:c r="G7" s="12" t="n">
        <x:f>F26</x:f>
        <x:v>424.9</x:v>
      </x:c>
      <x:c r="H7" s="10" t="str">
        <x:v>Existing PC/recorder; borrow SPL reference and already compatible timing input.</x:v>
      </x:c>
      <x:c r="I7" s="2"/>
      <x:c r="J7" s="2"/>
      <x:c r="K7" s="2"/>
      <x:c r="L7" s="2"/>
    </x:row>
    <x:row r="8" ht="55" customHeight="1">
      <x:c r="A8" s="2" t="str">
        <x:v>Practical audible</x:v>
      </x:c>
      <x:c r="B8" s="9" t="n">
        <x:f>E37</x:f>
        <x:v>914.9</x:v>
      </x:c>
      <x:c r="C8" s="9" t="n">
        <x:f>E38</x:f>
        <x:v>200</x:v>
      </x:c>
      <x:c r="D8" s="12" t="n">
        <x:f>E39</x:f>
        <x:v>1114.9</x:v>
      </x:c>
      <x:c r="E8" s="9" t="n">
        <x:f>F37</x:f>
        <x:v>1346.87</x:v>
      </x:c>
      <x:c r="F8" s="9" t="n">
        <x:f>F38</x:f>
        <x:v>250</x:v>
      </x:c>
      <x:c r="G8" s="12" t="n">
        <x:f>F39</x:f>
        <x:v>1596.87</x:v>
      </x:c>
      <x:c r="H8" s="10" t="str">
        <x:v>Selected audible tones up to 20 kHz; reference and timing allowances, existing PC/recorder.</x:v>
      </x:c>
      <x:c r="I8" s="2"/>
      <x:c r="J8" s="2"/>
      <x:c r="K8" s="2"/>
      <x:c r="L8" s="2"/>
    </x:row>
    <x:row r="9" ht="55" customHeight="1">
      <x:c r="A9" s="2" t="str">
        <x:v>USB higher-frequency</x:v>
      </x:c>
      <x:c r="B9" s="9" t="n">
        <x:f>E51</x:f>
        <x:v>9569.48</x:v>
      </x:c>
      <x:c r="C9" s="9" t="n">
        <x:f>E52</x:f>
        <x:v>1435.4219999999998</x:v>
      </x:c>
      <x:c r="D9" s="12" t="n">
        <x:f>E53</x:f>
        <x:v>11004.902</x:v>
      </x:c>
      <x:c r="E9" s="9" t="n">
        <x:f>F51</x:f>
        <x:v>17610.42</x:v>
      </x:c>
      <x:c r="F9" s="9" t="n">
        <x:f>F52</x:f>
        <x:v>2641.5629999999996</x:v>
      </x:c>
      <x:c r="G9" s="12" t="n">
        <x:f>F53</x:f>
        <x:v>20251.982999999997</x:v>
      </x:c>
      <x:c r="H9" s="10" t="str">
        <x:v>USB NI plus ES1/ED1; microphone on NI. 4 kHz upward; not full SONIC band.</x:v>
      </x:c>
      <x:c r="I9" s="2"/>
      <x:c r="J9" s="2"/>
      <x:c r="K9" s="2"/>
      <x:c r="L9" s="2"/>
    </x:row>
    <x:row r="10" ht="55" customHeight="1">
      <x:c r="A10" s="2" t="str">
        <x:v>Full slide rack</x:v>
      </x:c>
      <x:c r="B10" s="9" t="n">
        <x:f>E72</x:f>
        <x:v>13739.560000000001</x:v>
      </x:c>
      <x:c r="C10" s="9" t="n">
        <x:f>E73</x:f>
        <x:v>2060.934</x:v>
      </x:c>
      <x:c r="D10" s="12" t="n">
        <x:f>E74</x:f>
        <x:v>15800.494000000002</x:v>
      </x:c>
      <x:c r="E10" s="9" t="n">
        <x:f>F72</x:f>
        <x:v>25625.5</x:v>
      </x:c>
      <x:c r="F10" s="9" t="n">
        <x:f>F73</x:f>
        <x:v>3843.825</x:v>
      </x:c>
      <x:c r="G10" s="12" t="n">
        <x:f>F74</x:f>
        <x:v>29469.325</x:v>
      </x:c>
      <x:c r="H10" s="10" t="str">
        <x:v>Both NI modules plus ES1/ED1. PXI-4461 hybrid version and desktop required.</x:v>
      </x:c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13" t="str">
        <x:v>Audible options do not cover the full SONIC alphabet. ES1 options exclude tones below 4 kHz.</x:v>
      </x:c>
      <x:c r="B12" s="13"/>
      <x:c r="C12" s="13"/>
      <x:c r="D12" s="13"/>
      <x:c r="E12" s="13"/>
      <x:c r="F12" s="13"/>
      <x:c r="G12" s="13"/>
      <x:c r="H12" s="13"/>
      <x:c r="I12" s="2"/>
      <x:c r="J12" s="2"/>
      <x:c r="K12" s="2"/>
      <x:c r="L12" s="2"/>
    </x:row>
    <x:row r="13" ht="23" customHeight="1">
      <x:c r="A13" s="13" t="str">
        <x:v>Confirm the recorder inputs and calibration access. Audio line output is not TTL.</x:v>
      </x:c>
      <x:c r="B13" s="13"/>
      <x:c r="C13" s="13"/>
      <x:c r="D13" s="13"/>
      <x:c r="E13" s="13"/>
      <x:c r="F13" s="13"/>
      <x:c r="G13" s="13"/>
      <x:c r="H13" s="13"/>
      <x:c r="I13" s="2"/>
      <x:c r="J13" s="2"/>
      <x:c r="K13" s="2"/>
      <x:c r="L13" s="2"/>
    </x:row>
    <x:row r="14" ht="23" customHeight="1">
      <x:c r="A14" s="13" t="str">
        <x:v>Low eBay bundles require model checks and bench tests. No hardware performance is established.</x:v>
      </x:c>
      <x:c r="B14" s="13"/>
      <x:c r="C14" s="13"/>
      <x:c r="D14" s="13"/>
      <x:c r="E14" s="13"/>
      <x:c r="F14" s="13"/>
      <x:c r="G14" s="13"/>
      <x:c r="H14" s="13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3" t="str">
        <x:v>Minimum audible</x:v>
      </x:c>
      <x:c r="B18" s="24"/>
      <x:c r="C18" s="24"/>
      <x:c r="D18" s="24"/>
      <x:c r="E18" s="24"/>
      <x:c r="F18" s="24"/>
      <x:c r="G18" s="24"/>
      <x:c r="H18" s="2"/>
      <x:c r="I18" s="2"/>
      <x:c r="J18" s="2"/>
      <x:c r="K18" s="2"/>
      <x:c r="L18" s="2"/>
    </x:row>
    <x:row r="19" ht="32" customHeight="1">
      <x:c r="A19" s="7" t="str">
        <x:v>Part</x:v>
      </x:c>
      <x:c r="B19" s="7" t="str">
        <x:v>Qty</x:v>
      </x:c>
      <x:c r="C19" s="7" t="str">
        <x:v>Low unit</x:v>
      </x:c>
      <x:c r="D19" s="7" t="str">
        <x:v>High unit</x:v>
      </x:c>
      <x:c r="E19" s="7" t="str">
        <x:v>Low cost</x:v>
      </x:c>
      <x:c r="F19" s="7" t="str">
        <x:v>High cost</x:v>
      </x:c>
      <x:c r="G19" s="7" t="str">
        <x:v>Price type</x:v>
      </x:c>
      <x:c r="H19" s="2"/>
      <x:c r="I19" s="2"/>
      <x:c r="J19" s="2"/>
      <x:c r="K19" s="2"/>
      <x:c r="L19" s="2"/>
    </x:row>
    <x:row r="20" ht="34" customHeight="1">
      <x:c r="A20" s="2" t="str">
        <x:v>Behringer UMC204HD</x:v>
      </x:c>
      <x:c r="B20" s="28" t="n">
        <x:v>1</x:v>
      </x:c>
      <x:c r="C20" s="29" t="n">
        <x:f>Parts!D7</x:f>
        <x:v>97.98</x:v>
      </x:c>
      <x:c r="D20" s="29" t="n">
        <x:f>Parts!E7</x:f>
        <x:v>97.98</x:v>
      </x:c>
      <x:c r="E20" s="8" t="n">
        <x:f>B20*C20</x:f>
        <x:v>97.98</x:v>
      </x:c>
      <x:c r="F20" s="8" t="n">
        <x:f>B20*D20</x:f>
        <x:v>97.98</x:v>
      </x:c>
      <x:c r="G20" s="10" t="str">
        <x:v>eBay asking price</x:v>
      </x:c>
      <x:c r="H20" s="2"/>
      <x:c r="I20" s="2"/>
      <x:c r="J20" s="2"/>
      <x:c r="K20" s="2"/>
      <x:c r="L20" s="2"/>
    </x:row>
    <x:row r="21" ht="34" customHeight="1">
      <x:c r="A21" s="2" t="str">
        <x:v>JBL 305P MkII single speaker</x:v>
      </x:c>
      <x:c r="B21" s="28" t="n">
        <x:v>1</x:v>
      </x:c>
      <x:c r="C21" s="29" t="n">
        <x:f>Parts!D9</x:f>
        <x:v>99.99</x:v>
      </x:c>
      <x:c r="D21" s="29" t="n">
        <x:f>Parts!E9</x:f>
        <x:v>99.99</x:v>
      </x:c>
      <x:c r="E21" s="8" t="n">
        <x:f>B21*C21</x:f>
        <x:v>99.99</x:v>
      </x:c>
      <x:c r="F21" s="8" t="n">
        <x:f>B21*D21</x:f>
        <x:v>99.99</x:v>
      </x:c>
      <x:c r="G21" s="10" t="str">
        <x:v>eBay asking price</x:v>
      </x:c>
      <x:c r="H21" s="2"/>
      <x:c r="I21" s="2"/>
      <x:c r="J21" s="2"/>
      <x:c r="K21" s="2"/>
      <x:c r="L21" s="2"/>
    </x:row>
    <x:row r="22" ht="34" customHeight="1">
      <x:c r="A22" s="2" t="str">
        <x:v>Dayton EMM-6</x:v>
      </x:c>
      <x:c r="B22" s="28" t="n">
        <x:v>1</x:v>
      </x:c>
      <x:c r="C22" s="29" t="n">
        <x:f>Parts!D10</x:f>
        <x:v>66.93</x:v>
      </x:c>
      <x:c r="D22" s="29" t="n">
        <x:f>Parts!E10</x:f>
        <x:v>66.93</x:v>
      </x:c>
      <x:c r="E22" s="8" t="n">
        <x:f>B22*C22</x:f>
        <x:v>66.93</x:v>
      </x:c>
      <x:c r="F22" s="8" t="n">
        <x:f>B22*D22</x:f>
        <x:v>66.93</x:v>
      </x:c>
      <x:c r="G22" s="10" t="str">
        <x:v>eBay asking price</x:v>
      </x:c>
      <x:c r="H22" s="2"/>
      <x:c r="I22" s="2"/>
      <x:c r="J22" s="2"/>
      <x:c r="K22" s="2"/>
      <x:c r="L22" s="2"/>
    </x:row>
    <x:row r="23" ht="34" customHeight="1">
      <x:c r="A23" s="2" t="str">
        <x:v>Minimum cables and mounts</x:v>
      </x:c>
      <x:c r="B23" s="28" t="n">
        <x:v>1</x:v>
      </x:c>
      <x:c r="C23" s="29" t="n">
        <x:f>Parts!D23</x:f>
        <x:v>80</x:v>
      </x:c>
      <x:c r="D23" s="29" t="n">
        <x:f>Parts!E23</x:f>
        <x:v>80</x:v>
      </x:c>
      <x:c r="E23" s="8" t="n">
        <x:f>B23*C23</x:f>
        <x:v>80</x:v>
      </x:c>
      <x:c r="F23" s="8" t="n">
        <x:f>B23*D23</x:f>
        <x:v>80</x:v>
      </x:c>
      <x:c r="G23" s="10" t="str">
        <x:v>Planning allowance</x:v>
      </x:c>
      <x:c r="H23" s="2"/>
      <x:c r="I23" s="2"/>
      <x:c r="J23" s="2"/>
      <x:c r="K23" s="2"/>
      <x:c r="L23" s="2"/>
    </x:row>
    <x:row r="24" ht="23" customHeight="1">
      <x:c r="A24" s="2" t="str">
        <x:v>Equipment and support subtotal</x:v>
      </x:c>
      <x:c r="B24" s="2"/>
      <x:c r="C24" s="8"/>
      <x:c r="D24" s="8"/>
      <x:c r="E24" s="8" t="n">
        <x:f>SUM(E20:E23)</x:f>
        <x:v>344.9</x:v>
      </x:c>
      <x:c r="F24" s="8" t="n">
        <x:f>SUM(F20:F23)</x:f>
        <x:v>344.9</x:v>
      </x:c>
      <x:c r="G24" s="2"/>
      <x:c r="H24" s="2"/>
      <x:c r="I24" s="2"/>
      <x:c r="J24" s="2"/>
      <x:c r="K24" s="2"/>
      <x:c r="L24" s="2"/>
    </x:row>
    <x:row r="25" ht="23" customHeight="1">
      <x:c r="A25" s="2" t="str">
        <x:v>Delivery, tax and uncertainty reserve</x:v>
      </x:c>
      <x:c r="B25" s="2"/>
      <x:c r="C25" s="8"/>
      <x:c r="D25" s="8"/>
      <x:c r="E25" s="8" t="n">
        <x:f>Parts!D30</x:f>
        <x:v>80</x:v>
      </x:c>
      <x:c r="F25" s="8" t="n">
        <x:f>Parts!E30</x:f>
        <x:v>80</x:v>
      </x:c>
      <x:c r="G25" s="2"/>
      <x:c r="H25" s="2"/>
      <x:c r="I25" s="2"/>
      <x:c r="J25" s="2"/>
      <x:c r="K25" s="2"/>
      <x:c r="L25" s="2"/>
    </x:row>
    <x:row r="26" ht="23" customHeight="1">
      <x:c r="A26" s="26" t="str">
        <x:v>Planning total</x:v>
      </x:c>
      <x:c r="B26" s="26"/>
      <x:c r="C26" s="27"/>
      <x:c r="D26" s="27"/>
      <x:c r="E26" s="27" t="n">
        <x:f>SUM(E24:E25)</x:f>
        <x:v>424.9</x:v>
      </x:c>
      <x:c r="F26" s="27" t="n">
        <x:f>SUM(F24:F25)</x:f>
        <x:v>424.9</x:v>
      </x:c>
      <x:c r="G26" s="26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3" t="str">
        <x:v>Practical audible</x:v>
      </x:c>
      <x:c r="B29" s="24"/>
      <x:c r="C29" s="24"/>
      <x:c r="D29" s="24"/>
      <x:c r="E29" s="24"/>
      <x:c r="F29" s="24"/>
      <x:c r="G29" s="24"/>
      <x:c r="H29" s="2"/>
      <x:c r="I29" s="2"/>
      <x:c r="J29" s="2"/>
      <x:c r="K29" s="2"/>
      <x:c r="L29" s="2"/>
    </x:row>
    <x:row r="30" ht="32" customHeight="1">
      <x:c r="A30" s="7" t="str">
        <x:v>Part</x:v>
      </x:c>
      <x:c r="B30" s="7" t="str">
        <x:v>Qty</x:v>
      </x:c>
      <x:c r="C30" s="7" t="str">
        <x:v>Low unit</x:v>
      </x:c>
      <x:c r="D30" s="7" t="str">
        <x:v>High unit</x:v>
      </x:c>
      <x:c r="E30" s="7" t="str">
        <x:v>Low cost</x:v>
      </x:c>
      <x:c r="F30" s="7" t="str">
        <x:v>High cost</x:v>
      </x:c>
      <x:c r="G30" s="7" t="str">
        <x:v>Price type</x:v>
      </x:c>
      <x:c r="H30" s="2"/>
      <x:c r="I30" s="2"/>
      <x:c r="J30" s="2"/>
      <x:c r="K30" s="2"/>
      <x:c r="L30" s="2"/>
    </x:row>
    <x:row r="31" ht="34" customHeight="1">
      <x:c r="A31" s="2" t="str">
        <x:v>UMC204HD or MOTU M4</x:v>
      </x:c>
      <x:c r="B31" s="28" t="n">
        <x:v>1</x:v>
      </x:c>
      <x:c r="C31" s="29" t="n">
        <x:f>Parts!D8</x:f>
        <x:v>97.98</x:v>
      </x:c>
      <x:c r="D31" s="29" t="n">
        <x:f>Parts!E8</x:f>
        <x:v>279.95</x:v>
      </x:c>
      <x:c r="E31" s="8" t="n">
        <x:f>B31*C31</x:f>
        <x:v>97.98</x:v>
      </x:c>
      <x:c r="F31" s="8" t="n">
        <x:f>B31*D31</x:f>
        <x:v>279.95</x:v>
      </x:c>
      <x:c r="G31" s="10" t="str">
        <x:v>Two eBay asking prices</x:v>
      </x:c>
      <x:c r="H31" s="2"/>
      <x:c r="I31" s="2"/>
      <x:c r="J31" s="2"/>
      <x:c r="K31" s="2"/>
      <x:c r="L31" s="2"/>
    </x:row>
    <x:row r="32" ht="34" customHeight="1">
      <x:c r="A32" s="2" t="str">
        <x:v>JBL 305P MkII single speaker</x:v>
      </x:c>
      <x:c r="B32" s="28" t="n">
        <x:v>1</x:v>
      </x:c>
      <x:c r="C32" s="29" t="n">
        <x:f>Parts!D9</x:f>
        <x:v>99.99</x:v>
      </x:c>
      <x:c r="D32" s="29" t="n">
        <x:f>Parts!E9</x:f>
        <x:v>99.99</x:v>
      </x:c>
      <x:c r="E32" s="8" t="n">
        <x:f>B32*C32</x:f>
        <x:v>99.99</x:v>
      </x:c>
      <x:c r="F32" s="8" t="n">
        <x:f>B32*D32</x:f>
        <x:v>99.99</x:v>
      </x:c>
      <x:c r="G32" s="10" t="str">
        <x:v>eBay asking price</x:v>
      </x:c>
      <x:c r="H32" s="2"/>
      <x:c r="I32" s="2"/>
      <x:c r="J32" s="2"/>
      <x:c r="K32" s="2"/>
      <x:c r="L32" s="2"/>
    </x:row>
    <x:row r="33" ht="34" customHeight="1">
      <x:c r="A33" s="2" t="str">
        <x:v>Dayton EMM-6</x:v>
      </x:c>
      <x:c r="B33" s="28" t="n">
        <x:v>1</x:v>
      </x:c>
      <x:c r="C33" s="29" t="n">
        <x:f>Parts!D10</x:f>
        <x:v>66.93</x:v>
      </x:c>
      <x:c r="D33" s="29" t="n">
        <x:f>Parts!E10</x:f>
        <x:v>66.93</x:v>
      </x:c>
      <x:c r="E33" s="8" t="n">
        <x:f>B33*C33</x:f>
        <x:v>66.93</x:v>
      </x:c>
      <x:c r="F33" s="8" t="n">
        <x:f>B33*D33</x:f>
        <x:v>66.93</x:v>
      </x:c>
      <x:c r="G33" s="10" t="str">
        <x:v>eBay asking price</x:v>
      </x:c>
      <x:c r="H33" s="2"/>
      <x:c r="I33" s="2"/>
      <x:c r="J33" s="2"/>
      <x:c r="K33" s="2"/>
      <x:c r="L33" s="2"/>
    </x:row>
    <x:row r="34" ht="34" customHeight="1">
      <x:c r="A34" s="2" t="str">
        <x:v>Practical audible cables and mounts</x:v>
      </x:c>
      <x:c r="B34" s="28" t="n">
        <x:v>1</x:v>
      </x:c>
      <x:c r="C34" s="29" t="n">
        <x:f>Parts!D24</x:f>
        <x:v>100</x:v>
      </x:c>
      <x:c r="D34" s="29" t="n">
        <x:f>Parts!E24</x:f>
        <x:v>150</x:v>
      </x:c>
      <x:c r="E34" s="8" t="n">
        <x:f>B34*C34</x:f>
        <x:v>100</x:v>
      </x:c>
      <x:c r="F34" s="8" t="n">
        <x:f>B34*D34</x:f>
        <x:v>150</x:v>
      </x:c>
      <x:c r="G34" s="10" t="str">
        <x:v>Planning allowance</x:v>
      </x:c>
      <x:c r="H34" s="2"/>
      <x:c r="I34" s="2"/>
      <x:c r="J34" s="2"/>
      <x:c r="K34" s="2"/>
      <x:c r="L34" s="2"/>
    </x:row>
    <x:row r="35" ht="34" customHeight="1">
      <x:c r="A35" s="2" t="str">
        <x:v>Audible SPL reference access</x:v>
      </x:c>
      <x:c r="B35" s="28" t="n">
        <x:v>1</x:v>
      </x:c>
      <x:c r="C35" s="29" t="n">
        <x:f>Parts!D25</x:f>
        <x:v>300</x:v>
      </x:c>
      <x:c r="D35" s="29" t="n">
        <x:f>Parts!E25</x:f>
        <x:v>400</x:v>
      </x:c>
      <x:c r="E35" s="8" t="n">
        <x:f>B35*C35</x:f>
        <x:v>300</x:v>
      </x:c>
      <x:c r="F35" s="8" t="n">
        <x:f>B35*D35</x:f>
        <x:v>400</x:v>
      </x:c>
      <x:c r="G35" s="10" t="str">
        <x:v>Planning allowance; quote needed</x:v>
      </x:c>
      <x:c r="H35" s="2"/>
      <x:c r="I35" s="2"/>
      <x:c r="J35" s="2"/>
      <x:c r="K35" s="2"/>
      <x:c r="L35" s="2"/>
    </x:row>
    <x:row r="36" ht="34" customHeight="1">
      <x:c r="A36" s="2" t="str">
        <x:v>Recorder timing interface</x:v>
      </x:c>
      <x:c r="B36" s="28" t="n">
        <x:v>1</x:v>
      </x:c>
      <x:c r="C36" s="29" t="n">
        <x:f>Parts!D26</x:f>
        <x:v>250</x:v>
      </x:c>
      <x:c r="D36" s="29" t="n">
        <x:f>Parts!E26</x:f>
        <x:v>350</x:v>
      </x:c>
      <x:c r="E36" s="8" t="n">
        <x:f>B36*C36</x:f>
        <x:v>250</x:v>
      </x:c>
      <x:c r="F36" s="8" t="n">
        <x:f>B36*D36</x:f>
        <x:v>350</x:v>
      </x:c>
      <x:c r="G36" s="10" t="str">
        <x:v>Planning allowance; model open</x:v>
      </x:c>
      <x:c r="H36" s="2"/>
      <x:c r="I36" s="2"/>
      <x:c r="J36" s="2"/>
      <x:c r="K36" s="2"/>
      <x:c r="L36" s="2"/>
    </x:row>
    <x:row r="37" ht="23" customHeight="1">
      <x:c r="A37" s="2" t="str">
        <x:v>Equipment and support subtotal</x:v>
      </x:c>
      <x:c r="B37" s="2"/>
      <x:c r="C37" s="8"/>
      <x:c r="D37" s="8"/>
      <x:c r="E37" s="8" t="n">
        <x:f>SUM(E31:E36)</x:f>
        <x:v>914.9</x:v>
      </x:c>
      <x:c r="F37" s="8" t="n">
        <x:f>SUM(F31:F36)</x:f>
        <x:v>1346.87</x:v>
      </x:c>
      <x:c r="G37" s="2"/>
      <x:c r="H37" s="2"/>
      <x:c r="I37" s="2"/>
      <x:c r="J37" s="2"/>
      <x:c r="K37" s="2"/>
      <x:c r="L37" s="2"/>
    </x:row>
    <x:row r="38" ht="23" customHeight="1">
      <x:c r="A38" s="2" t="str">
        <x:v>Delivery, tax and uncertainty reserve</x:v>
      </x:c>
      <x:c r="B38" s="2"/>
      <x:c r="C38" s="8"/>
      <x:c r="D38" s="8"/>
      <x:c r="E38" s="8" t="n">
        <x:f>Parts!D31</x:f>
        <x:v>200</x:v>
      </x:c>
      <x:c r="F38" s="8" t="n">
        <x:f>Parts!E31</x:f>
        <x:v>250</x:v>
      </x:c>
      <x:c r="G38" s="2"/>
      <x:c r="H38" s="2"/>
      <x:c r="I38" s="2"/>
      <x:c r="J38" s="2"/>
      <x:c r="K38" s="2"/>
      <x:c r="L38" s="2"/>
    </x:row>
    <x:row r="39" ht="23" customHeight="1">
      <x:c r="A39" s="26" t="str">
        <x:v>Planning total</x:v>
      </x:c>
      <x:c r="B39" s="26"/>
      <x:c r="C39" s="27"/>
      <x:c r="D39" s="27"/>
      <x:c r="E39" s="27" t="n">
        <x:f>SUM(E37:E38)</x:f>
        <x:v>1114.9</x:v>
      </x:c>
      <x:c r="F39" s="27" t="n">
        <x:f>SUM(F37:F38)</x:f>
        <x:v>1596.87</x:v>
      </x:c>
      <x:c r="G39" s="26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3" t="str">
        <x:v>USB higher-frequency</x:v>
      </x:c>
      <x:c r="B42" s="24"/>
      <x:c r="C42" s="24"/>
      <x:c r="D42" s="24"/>
      <x:c r="E42" s="24"/>
      <x:c r="F42" s="24"/>
      <x:c r="G42" s="24"/>
      <x:c r="H42" s="2"/>
      <x:c r="I42" s="2"/>
      <x:c r="J42" s="2"/>
      <x:c r="K42" s="2"/>
      <x:c r="L42" s="2"/>
    </x:row>
    <x:row r="43" ht="32" customHeight="1">
      <x:c r="A43" s="7" t="str">
        <x:v>Part</x:v>
      </x:c>
      <x:c r="B43" s="7" t="str">
        <x:v>Qty</x:v>
      </x:c>
      <x:c r="C43" s="7" t="str">
        <x:v>Low unit</x:v>
      </x:c>
      <x:c r="D43" s="7" t="str">
        <x:v>High unit</x:v>
      </x:c>
      <x:c r="E43" s="7" t="str">
        <x:v>Low cost</x:v>
      </x:c>
      <x:c r="F43" s="7" t="str">
        <x:v>High cost</x:v>
      </x:c>
      <x:c r="G43" s="7" t="str">
        <x:v>Price type</x:v>
      </x:c>
      <x:c r="H43" s="2"/>
      <x:c r="I43" s="2"/>
      <x:c r="J43" s="2"/>
      <x:c r="K43" s="2"/>
      <x:c r="L43" s="2"/>
    </x:row>
    <x:row r="44" ht="34" customHeight="1">
      <x:c r="A44" s="2" t="str">
        <x:v>NI USB-6361 781442-01</x:v>
      </x:c>
      <x:c r="B44" s="28" t="n">
        <x:v>1</x:v>
      </x:c>
      <x:c r="C44" s="29" t="n">
        <x:f>Parts!D22</x:f>
        <x:v>3030.42</x:v>
      </x:c>
      <x:c r="D44" s="29" t="n">
        <x:f>Parts!E22</x:f>
        <x:v>3030.42</x:v>
      </x:c>
      <x:c r="E44" s="8" t="n">
        <x:f>B44*C44</x:f>
        <x:v>3030.42</x:v>
      </x:c>
      <x:c r="F44" s="8" t="n">
        <x:f>B44*D44</x:f>
        <x:v>3030.42</x:v>
      </x:c>
      <x:c r="G44" s="10" t="str">
        <x:v>Newark public unit price</x:v>
      </x:c>
      <x:c r="H44" s="2"/>
      <x:c r="I44" s="2"/>
      <x:c r="J44" s="2"/>
      <x:c r="K44" s="2"/>
      <x:c r="L44" s="2"/>
    </x:row>
    <x:row r="45" ht="34" customHeight="1">
      <x:c r="A45" s="2" t="str">
        <x:v>TDT ED1 and compatible zBus power</x:v>
      </x:c>
      <x:c r="B45" s="28" t="n">
        <x:v>1</x:v>
      </x:c>
      <x:c r="C45" s="29" t="n">
        <x:f>Parts!D19</x:f>
        <x:v>209.06</x:v>
      </x:c>
      <x:c r="D45" s="29" t="n">
        <x:f>Parts!E19</x:f>
        <x:v>3500</x:v>
      </x:c>
      <x:c r="E45" s="8" t="n">
        <x:f>B45*C45</x:f>
        <x:v>209.06</x:v>
      </x:c>
      <x:c r="F45" s="8" t="n">
        <x:f>B45*D45</x:f>
        <x:v>3500</x:v>
      </x:c>
      <x:c r="G45" s="10" t="str">
        <x:v>Low eBay bundle; high estimate</x:v>
      </x:c>
      <x:c r="H45" s="2"/>
      <x:c r="I45" s="2"/>
      <x:c r="J45" s="2"/>
      <x:c r="K45" s="2"/>
      <x:c r="L45" s="2"/>
    </x:row>
    <x:row r="46" ht="34" customHeight="1">
      <x:c r="A46" s="2" t="str">
        <x:v>TDT ES1 with matching speaker cable</x:v>
      </x:c>
      <x:c r="B46" s="28" t="n">
        <x:v>1</x:v>
      </x:c>
      <x:c r="C46" s="29" t="n">
        <x:f>Parts!D20</x:f>
        <x:v>1500</x:v>
      </x:c>
      <x:c r="D46" s="29" t="n">
        <x:f>Parts!E20</x:f>
        <x:v>2500</x:v>
      </x:c>
      <x:c r="E46" s="8" t="n">
        <x:f>B46*C46</x:f>
        <x:v>1500</x:v>
      </x:c>
      <x:c r="F46" s="8" t="n">
        <x:f>B46*D46</x:f>
        <x:v>2500</x:v>
      </x:c>
      <x:c r="G46" s="10" t="str">
        <x:v>Estimate; no reliable eBay price</x:v>
      </x:c>
      <x:c r="H46" s="2"/>
      <x:c r="I46" s="2"/>
      <x:c r="J46" s="2"/>
      <x:c r="K46" s="2"/>
      <x:c r="L46" s="2"/>
    </x:row>
    <x:row r="47" ht="34" customHeight="1">
      <x:c r="A47" s="2" t="str">
        <x:v>Avisoft CM16/CMPA48AAF-5V 40026</x:v>
      </x:c>
      <x:c r="B47" s="28" t="n">
        <x:v>1</x:v>
      </x:c>
      <x:c r="C47" s="29" t="n">
        <x:f>Parts!D21</x:f>
        <x:v>2580</x:v>
      </x:c>
      <x:c r="D47" s="29" t="n">
        <x:f>Parts!E21</x:f>
        <x:v>2580</x:v>
      </x:c>
      <x:c r="E47" s="8" t="n">
        <x:f>B47*C47</x:f>
        <x:v>2580</x:v>
      </x:c>
      <x:c r="F47" s="8" t="n">
        <x:f>B47*D47</x:f>
        <x:v>2580</x:v>
      </x:c>
      <x:c r="G47" s="10" t="str">
        <x:v>Manufacturer USD list price</x:v>
      </x:c>
      <x:c r="H47" s="2"/>
      <x:c r="I47" s="2"/>
      <x:c r="J47" s="2"/>
      <x:c r="K47" s="2"/>
      <x:c r="L47" s="2"/>
    </x:row>
    <x:row r="48" ht="34" customHeight="1">
      <x:c r="A48" s="2" t="str">
        <x:v>Band-appropriate acoustic calibration</x:v>
      </x:c>
      <x:c r="B48" s="28" t="n">
        <x:v>1</x:v>
      </x:c>
      <x:c r="C48" s="29" t="n">
        <x:f>Parts!D27</x:f>
        <x:v>1500</x:v>
      </x:c>
      <x:c r="D48" s="29" t="n">
        <x:f>Parts!E27</x:f>
        <x:v>3000</x:v>
      </x:c>
      <x:c r="E48" s="8" t="n">
        <x:f>B48*C48</x:f>
        <x:v>1500</x:v>
      </x:c>
      <x:c r="F48" s="8" t="n">
        <x:f>B48*D48</x:f>
        <x:v>3000</x:v>
      </x:c>
      <x:c r="G48" s="10" t="str">
        <x:v>Planning allowance; quote needed</x:v>
      </x:c>
      <x:c r="H48" s="2"/>
      <x:c r="I48" s="2"/>
      <x:c r="J48" s="2"/>
      <x:c r="K48" s="2"/>
      <x:c r="L48" s="2"/>
    </x:row>
    <x:row r="49" ht="34" customHeight="1">
      <x:c r="A49" s="2" t="str">
        <x:v>Wide-band support and timing parts</x:v>
      </x:c>
      <x:c r="B49" s="28" t="n">
        <x:v>1</x:v>
      </x:c>
      <x:c r="C49" s="29" t="n">
        <x:f>Parts!D28</x:f>
        <x:v>750</x:v>
      </x:c>
      <x:c r="D49" s="29" t="n">
        <x:f>Parts!E28</x:f>
        <x:v>1500</x:v>
      </x:c>
      <x:c r="E49" s="8" t="n">
        <x:f>B49*C49</x:f>
        <x:v>750</x:v>
      </x:c>
      <x:c r="F49" s="8" t="n">
        <x:f>B49*D49</x:f>
        <x:v>1500</x:v>
      </x:c>
      <x:c r="G49" s="10" t="str">
        <x:v>Planning allowance; models open</x:v>
      </x:c>
      <x:c r="H49" s="2"/>
      <x:c r="I49" s="2"/>
      <x:c r="J49" s="2"/>
      <x:c r="K49" s="2"/>
      <x:c r="L49" s="2"/>
    </x:row>
    <x:row r="50" ht="34" customHeight="1">
      <x:c r="A50" s="2" t="str">
        <x:v>Computer and storage</x:v>
      </x:c>
      <x:c r="B50" s="28" t="n">
        <x:v>1</x:v>
      </x:c>
      <x:c r="C50" s="29" t="n">
        <x:f>Parts!D29</x:f>
        <x:v>0</x:v>
      </x:c>
      <x:c r="D50" s="29" t="n">
        <x:f>Parts!E29</x:f>
        <x:v>1500</x:v>
      </x:c>
      <x:c r="E50" s="8" t="n">
        <x:f>B50*C50</x:f>
        <x:v>0</x:v>
      </x:c>
      <x:c r="F50" s="8" t="n">
        <x:f>B50*D50</x:f>
        <x:v>1500</x:v>
      </x:c>
      <x:c r="G50" s="10" t="str">
        <x:v>Reuse assumption or package allowance</x:v>
      </x:c>
      <x:c r="H50" s="2"/>
      <x:c r="I50" s="2"/>
      <x:c r="J50" s="2"/>
      <x:c r="K50" s="2"/>
      <x:c r="L50" s="2"/>
    </x:row>
    <x:row r="51" ht="23" customHeight="1">
      <x:c r="A51" s="2" t="str">
        <x:v>Equipment and support subtotal</x:v>
      </x:c>
      <x:c r="B51" s="2"/>
      <x:c r="C51" s="8"/>
      <x:c r="D51" s="8"/>
      <x:c r="E51" s="8" t="n">
        <x:f>SUM(E44:E50)</x:f>
        <x:v>9569.48</x:v>
      </x:c>
      <x:c r="F51" s="8" t="n">
        <x:f>SUM(F44:F50)</x:f>
        <x:v>17610.42</x:v>
      </x:c>
      <x:c r="G51" s="2"/>
      <x:c r="H51" s="2"/>
      <x:c r="I51" s="2"/>
      <x:c r="J51" s="2"/>
      <x:c r="K51" s="2"/>
      <x:c r="L51" s="2"/>
    </x:row>
    <x:row r="52" ht="23" customHeight="1">
      <x:c r="A52" s="2" t="str">
        <x:v>Percentage reserve from Parts inputs</x:v>
      </x:c>
      <x:c r="B52" s="2"/>
      <x:c r="C52" s="8"/>
      <x:c r="D52" s="8"/>
      <x:c r="E52" s="8" t="n">
        <x:f>E51*Parts!D32</x:f>
        <x:v>1435.4219999999998</x:v>
      </x:c>
      <x:c r="F52" s="8" t="n">
        <x:f>F51*Parts!E32</x:f>
        <x:v>2641.5629999999996</x:v>
      </x:c>
      <x:c r="G52" s="2"/>
      <x:c r="H52" s="2"/>
      <x:c r="I52" s="2"/>
      <x:c r="J52" s="2"/>
      <x:c r="K52" s="2"/>
      <x:c r="L52" s="2"/>
    </x:row>
    <x:row r="53" ht="23" customHeight="1">
      <x:c r="A53" s="26" t="str">
        <x:v>Planning total</x:v>
      </x:c>
      <x:c r="B53" s="26"/>
      <x:c r="C53" s="27"/>
      <x:c r="D53" s="27"/>
      <x:c r="E53" s="27" t="n">
        <x:f>SUM(E51:E52)</x:f>
        <x:v>11004.902</x:v>
      </x:c>
      <x:c r="F53" s="27" t="n">
        <x:f>SUM(F51:F52)</x:f>
        <x:v>20251.982999999997</x:v>
      </x:c>
      <x:c r="G53" s="26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3" t="str">
        <x:v>Full slide rack</x:v>
      </x:c>
      <x:c r="B56" s="24"/>
      <x:c r="C56" s="24"/>
      <x:c r="D56" s="24"/>
      <x:c r="E56" s="24"/>
      <x:c r="F56" s="24"/>
      <x:c r="G56" s="24"/>
      <x:c r="H56" s="2"/>
      <x:c r="I56" s="2"/>
      <x:c r="J56" s="2"/>
      <x:c r="K56" s="2"/>
      <x:c r="L56" s="2"/>
    </x:row>
    <x:row r="57" ht="32" customHeight="1">
      <x:c r="A57" s="7" t="str">
        <x:v>Part</x:v>
      </x:c>
      <x:c r="B57" s="7" t="str">
        <x:v>Qty</x:v>
      </x:c>
      <x:c r="C57" s="7" t="str">
        <x:v>Low unit</x:v>
      </x:c>
      <x:c r="D57" s="7" t="str">
        <x:v>High unit</x:v>
      </x:c>
      <x:c r="E57" s="7" t="str">
        <x:v>Low cost</x:v>
      </x:c>
      <x:c r="F57" s="7" t="str">
        <x:v>High cost</x:v>
      </x:c>
      <x:c r="G57" s="7" t="str">
        <x:v>Price type</x:v>
      </x:c>
      <x:c r="H57" s="2"/>
      <x:c r="I57" s="2"/>
      <x:c r="J57" s="2"/>
      <x:c r="K57" s="2"/>
      <x:c r="L57" s="2"/>
    </x:row>
    <x:row r="58" ht="34" customHeight="1">
      <x:c r="A58" s="2" t="str">
        <x:v>NI PXIe-1082</x:v>
      </x:c>
      <x:c r="B58" s="28" t="n">
        <x:v>1</x:v>
      </x:c>
      <x:c r="C58" s="29" t="n">
        <x:f>Parts!D11</x:f>
        <x:v>2650</x:v>
      </x:c>
      <x:c r="D58" s="29" t="n">
        <x:f>Parts!E11</x:f>
        <x:v>6495</x:v>
      </x:c>
      <x:c r="E58" s="8" t="n">
        <x:f>B58*C58</x:f>
        <x:v>2650</x:v>
      </x:c>
      <x:c r="F58" s="8" t="n">
        <x:f>B58*D58</x:f>
        <x:v>6495</x:v>
      </x:c>
      <x:c r="G58" s="10" t="str">
        <x:v>Two eBay asking prices</x:v>
      </x:c>
      <x:c r="H58" s="2"/>
      <x:c r="I58" s="2"/>
      <x:c r="J58" s="2"/>
      <x:c r="K58" s="2"/>
      <x:c r="L58" s="2"/>
    </x:row>
    <x:row r="59" ht="34" customHeight="1">
      <x:c r="A59" s="2" t="str">
        <x:v>NI PXIe-6363</x:v>
      </x:c>
      <x:c r="B59" s="28" t="n">
        <x:v>1</x:v>
      </x:c>
      <x:c r="C59" s="29" t="n">
        <x:f>Parts!D12</x:f>
        <x:v>2495.36</x:v>
      </x:c>
      <x:c r="D59" s="29" t="n">
        <x:f>Parts!E12</x:f>
        <x:v>2495.36</x:v>
      </x:c>
      <x:c r="E59" s="8" t="n">
        <x:f>B59*C59</x:f>
        <x:v>2495.36</x:v>
      </x:c>
      <x:c r="F59" s="8" t="n">
        <x:f>B59*D59</x:f>
        <x:v>2495.36</x:v>
      </x:c>
      <x:c r="G59" s="10" t="str">
        <x:v>eBay asking price</x:v>
      </x:c>
      <x:c r="H59" s="2"/>
      <x:c r="I59" s="2"/>
      <x:c r="J59" s="2"/>
      <x:c r="K59" s="2"/>
      <x:c r="L59" s="2"/>
    </x:row>
    <x:row r="60" ht="34" customHeight="1">
      <x:c r="A60" s="2" t="str">
        <x:v>NI PXI-4461</x:v>
      </x:c>
      <x:c r="B60" s="28" t="n">
        <x:v>1</x:v>
      </x:c>
      <x:c r="C60" s="29" t="n">
        <x:f>Parts!D13</x:f>
        <x:v>571.33</x:v>
      </x:c>
      <x:c r="D60" s="29" t="n">
        <x:f>Parts!E13</x:f>
        <x:v>571.33</x:v>
      </x:c>
      <x:c r="E60" s="8" t="n">
        <x:f>B60*C60</x:f>
        <x:v>571.33</x:v>
      </x:c>
      <x:c r="F60" s="8" t="n">
        <x:f>B60*D60</x:f>
        <x:v>571.33</x:v>
      </x:c>
      <x:c r="G60" s="10" t="str">
        <x:v>Conditional eBay asking price</x:v>
      </x:c>
      <x:c r="H60" s="2"/>
      <x:c r="I60" s="2"/>
      <x:c r="J60" s="2"/>
      <x:c r="K60" s="2"/>
      <x:c r="L60" s="2"/>
    </x:row>
    <x:row r="61" ht="34" customHeight="1">
      <x:c r="A61" s="2" t="str">
        <x:v>NI PXIe-8360</x:v>
      </x:c>
      <x:c r="B61" s="28" t="n">
        <x:v>1</x:v>
      </x:c>
      <x:c r="C61" s="29" t="n">
        <x:f>Parts!D14</x:f>
        <x:v>493.2</x:v>
      </x:c>
      <x:c r="D61" s="29" t="n">
        <x:f>Parts!E14</x:f>
        <x:v>493.2</x:v>
      </x:c>
      <x:c r="E61" s="8" t="n">
        <x:f>B61*C61</x:f>
        <x:v>493.2</x:v>
      </x:c>
      <x:c r="F61" s="8" t="n">
        <x:f>B61*D61</x:f>
        <x:v>493.2</x:v>
      </x:c>
      <x:c r="G61" s="10" t="str">
        <x:v>eBay asking price</x:v>
      </x:c>
      <x:c r="H61" s="2"/>
      <x:c r="I61" s="2"/>
      <x:c r="J61" s="2"/>
      <x:c r="K61" s="2"/>
      <x:c r="L61" s="2"/>
    </x:row>
    <x:row r="62" ht="34" customHeight="1">
      <x:c r="A62" s="2" t="str">
        <x:v>NI PCIe-8361</x:v>
      </x:c>
      <x:c r="B62" s="28" t="n">
        <x:v>1</x:v>
      </x:c>
      <x:c r="C62" s="29" t="n">
        <x:f>Parts!D15</x:f>
        <x:v>197</x:v>
      </x:c>
      <x:c r="D62" s="29" t="n">
        <x:f>Parts!E15</x:f>
        <x:v>197</x:v>
      </x:c>
      <x:c r="E62" s="8" t="n">
        <x:f>B62*C62</x:f>
        <x:v>197</x:v>
      </x:c>
      <x:c r="F62" s="8" t="n">
        <x:f>B62*D62</x:f>
        <x:v>197</x:v>
      </x:c>
      <x:c r="G62" s="10" t="str">
        <x:v>eBay asking price</x:v>
      </x:c>
      <x:c r="H62" s="2"/>
      <x:c r="I62" s="2"/>
      <x:c r="J62" s="2"/>
      <x:c r="K62" s="2"/>
      <x:c r="L62" s="2"/>
    </x:row>
    <x:row r="63" ht="34" customHeight="1">
      <x:c r="A63" s="2" t="str">
        <x:v>NI MXI cable 779500-03</x:v>
      </x:c>
      <x:c r="B63" s="28" t="n">
        <x:v>1</x:v>
      </x:c>
      <x:c r="C63" s="29" t="n">
        <x:f>Parts!D16</x:f>
        <x:v>89.85</x:v>
      </x:c>
      <x:c r="D63" s="29" t="n">
        <x:f>Parts!E16</x:f>
        <x:v>89.85</x:v>
      </x:c>
      <x:c r="E63" s="8" t="n">
        <x:f>B63*C63</x:f>
        <x:v>89.85</x:v>
      </x:c>
      <x:c r="F63" s="8" t="n">
        <x:f>B63*D63</x:f>
        <x:v>89.85</x:v>
      </x:c>
      <x:c r="G63" s="10" t="str">
        <x:v>eBay asking price</x:v>
      </x:c>
      <x:c r="H63" s="2"/>
      <x:c r="I63" s="2"/>
      <x:c r="J63" s="2"/>
      <x:c r="K63" s="2"/>
      <x:c r="L63" s="2"/>
    </x:row>
    <x:row r="64" ht="34" customHeight="1">
      <x:c r="A64" s="2" t="str">
        <x:v>NI SHC68-68-EPM</x:v>
      </x:c>
      <x:c r="B64" s="28" t="n">
        <x:v>1</x:v>
      </x:c>
      <x:c r="C64" s="29" t="n">
        <x:f>Parts!D17</x:f>
        <x:v>89.99</x:v>
      </x:c>
      <x:c r="D64" s="29" t="n">
        <x:f>Parts!E17</x:f>
        <x:v>89.99</x:v>
      </x:c>
      <x:c r="E64" s="8" t="n">
        <x:f>B64*C64</x:f>
        <x:v>89.99</x:v>
      </x:c>
      <x:c r="F64" s="8" t="n">
        <x:f>B64*D64</x:f>
        <x:v>89.99</x:v>
      </x:c>
      <x:c r="G64" s="10" t="str">
        <x:v>eBay asking price</x:v>
      </x:c>
      <x:c r="H64" s="2"/>
      <x:c r="I64" s="2"/>
      <x:c r="J64" s="2"/>
      <x:c r="K64" s="2"/>
      <x:c r="L64" s="2"/>
    </x:row>
    <x:row r="65" ht="34" customHeight="1">
      <x:c r="A65" s="2" t="str">
        <x:v>NI BNC-2090A</x:v>
      </x:c>
      <x:c r="B65" s="28" t="n">
        <x:v>1</x:v>
      </x:c>
      <x:c r="C65" s="29" t="n">
        <x:f>Parts!D18</x:f>
        <x:v>613.77</x:v>
      </x:c>
      <x:c r="D65" s="29" t="n">
        <x:f>Parts!E18</x:f>
        <x:v>613.77</x:v>
      </x:c>
      <x:c r="E65" s="8" t="n">
        <x:f>B65*C65</x:f>
        <x:v>613.77</x:v>
      </x:c>
      <x:c r="F65" s="8" t="n">
        <x:f>B65*D65</x:f>
        <x:v>613.77</x:v>
      </x:c>
      <x:c r="G65" s="10" t="str">
        <x:v>eBay asking price</x:v>
      </x:c>
      <x:c r="H65" s="2"/>
      <x:c r="I65" s="2"/>
      <x:c r="J65" s="2"/>
      <x:c r="K65" s="2"/>
      <x:c r="L65" s="2"/>
    </x:row>
    <x:row r="66" ht="34" customHeight="1">
      <x:c r="A66" s="2" t="str">
        <x:v>TDT ED1 and compatible zBus power</x:v>
      </x:c>
      <x:c r="B66" s="28" t="n">
        <x:v>1</x:v>
      </x:c>
      <x:c r="C66" s="29" t="n">
        <x:f>Parts!D19</x:f>
        <x:v>209.06</x:v>
      </x:c>
      <x:c r="D66" s="29" t="n">
        <x:f>Parts!E19</x:f>
        <x:v>3500</x:v>
      </x:c>
      <x:c r="E66" s="8" t="n">
        <x:f>B66*C66</x:f>
        <x:v>209.06</x:v>
      </x:c>
      <x:c r="F66" s="8" t="n">
        <x:f>B66*D66</x:f>
        <x:v>3500</x:v>
      </x:c>
      <x:c r="G66" s="10" t="str">
        <x:v>Low eBay bundle; high estimate</x:v>
      </x:c>
      <x:c r="H66" s="2"/>
      <x:c r="I66" s="2"/>
      <x:c r="J66" s="2"/>
      <x:c r="K66" s="2"/>
      <x:c r="L66" s="2"/>
    </x:row>
    <x:row r="67" ht="34" customHeight="1">
      <x:c r="A67" s="2" t="str">
        <x:v>TDT ES1 with matching speaker cable</x:v>
      </x:c>
      <x:c r="B67" s="28" t="n">
        <x:v>1</x:v>
      </x:c>
      <x:c r="C67" s="29" t="n">
        <x:f>Parts!D20</x:f>
        <x:v>1500</x:v>
      </x:c>
      <x:c r="D67" s="29" t="n">
        <x:f>Parts!E20</x:f>
        <x:v>2500</x:v>
      </x:c>
      <x:c r="E67" s="8" t="n">
        <x:f>B67*C67</x:f>
        <x:v>1500</x:v>
      </x:c>
      <x:c r="F67" s="8" t="n">
        <x:f>B67*D67</x:f>
        <x:v>2500</x:v>
      </x:c>
      <x:c r="G67" s="10" t="str">
        <x:v>Estimate; no reliable eBay price</x:v>
      </x:c>
      <x:c r="H67" s="2"/>
      <x:c r="I67" s="2"/>
      <x:c r="J67" s="2"/>
      <x:c r="K67" s="2"/>
      <x:c r="L67" s="2"/>
    </x:row>
    <x:row r="68" ht="34" customHeight="1">
      <x:c r="A68" s="2" t="str">
        <x:v>Avisoft CM16/CMPA48AAF-5V 40026</x:v>
      </x:c>
      <x:c r="B68" s="28" t="n">
        <x:v>1</x:v>
      </x:c>
      <x:c r="C68" s="29" t="n">
        <x:f>Parts!D21</x:f>
        <x:v>2580</x:v>
      </x:c>
      <x:c r="D68" s="29" t="n">
        <x:f>Parts!E21</x:f>
        <x:v>2580</x:v>
      </x:c>
      <x:c r="E68" s="8" t="n">
        <x:f>B68*C68</x:f>
        <x:v>2580</x:v>
      </x:c>
      <x:c r="F68" s="8" t="n">
        <x:f>B68*D68</x:f>
        <x:v>2580</x:v>
      </x:c>
      <x:c r="G68" s="10" t="str">
        <x:v>Manufacturer USD list price</x:v>
      </x:c>
      <x:c r="H68" s="2"/>
      <x:c r="I68" s="2"/>
      <x:c r="J68" s="2"/>
      <x:c r="K68" s="2"/>
      <x:c r="L68" s="2"/>
    </x:row>
    <x:row r="69" ht="34" customHeight="1">
      <x:c r="A69" s="2" t="str">
        <x:v>Band-appropriate acoustic calibration</x:v>
      </x:c>
      <x:c r="B69" s="28" t="n">
        <x:v>1</x:v>
      </x:c>
      <x:c r="C69" s="29" t="n">
        <x:f>Parts!D27</x:f>
        <x:v>1500</x:v>
      </x:c>
      <x:c r="D69" s="29" t="n">
        <x:f>Parts!E27</x:f>
        <x:v>3000</x:v>
      </x:c>
      <x:c r="E69" s="8" t="n">
        <x:f>B69*C69</x:f>
        <x:v>1500</x:v>
      </x:c>
      <x:c r="F69" s="8" t="n">
        <x:f>B69*D69</x:f>
        <x:v>3000</x:v>
      </x:c>
      <x:c r="G69" s="10" t="str">
        <x:v>Planning allowance; quote needed</x:v>
      </x:c>
      <x:c r="H69" s="2"/>
      <x:c r="I69" s="2"/>
      <x:c r="J69" s="2"/>
      <x:c r="K69" s="2"/>
      <x:c r="L69" s="2"/>
    </x:row>
    <x:row r="70" ht="34" customHeight="1">
      <x:c r="A70" s="2" t="str">
        <x:v>Wide-band support and timing parts</x:v>
      </x:c>
      <x:c r="B70" s="28" t="n">
        <x:v>1</x:v>
      </x:c>
      <x:c r="C70" s="29" t="n">
        <x:f>Parts!D28</x:f>
        <x:v>750</x:v>
      </x:c>
      <x:c r="D70" s="29" t="n">
        <x:f>Parts!E28</x:f>
        <x:v>1500</x:v>
      </x:c>
      <x:c r="E70" s="8" t="n">
        <x:f>B70*C70</x:f>
        <x:v>750</x:v>
      </x:c>
      <x:c r="F70" s="8" t="n">
        <x:f>B70*D70</x:f>
        <x:v>1500</x:v>
      </x:c>
      <x:c r="G70" s="10" t="str">
        <x:v>Planning allowance; models open</x:v>
      </x:c>
      <x:c r="H70" s="2"/>
      <x:c r="I70" s="2"/>
      <x:c r="J70" s="2"/>
      <x:c r="K70" s="2"/>
      <x:c r="L70" s="2"/>
    </x:row>
    <x:row r="71" ht="34" customHeight="1">
      <x:c r="A71" s="2" t="str">
        <x:v>Computer and storage</x:v>
      </x:c>
      <x:c r="B71" s="28" t="n">
        <x:v>1</x:v>
      </x:c>
      <x:c r="C71" s="29" t="n">
        <x:f>Parts!D29</x:f>
        <x:v>0</x:v>
      </x:c>
      <x:c r="D71" s="29" t="n">
        <x:f>Parts!E29</x:f>
        <x:v>1500</x:v>
      </x:c>
      <x:c r="E71" s="8" t="n">
        <x:f>B71*C71</x:f>
        <x:v>0</x:v>
      </x:c>
      <x:c r="F71" s="8" t="n">
        <x:f>B71*D71</x:f>
        <x:v>1500</x:v>
      </x:c>
      <x:c r="G71" s="10" t="str">
        <x:v>Reuse assumption or package allowance</x:v>
      </x:c>
      <x:c r="H71" s="2"/>
      <x:c r="I71" s="2"/>
      <x:c r="J71" s="2"/>
      <x:c r="K71" s="2"/>
      <x:c r="L71" s="2"/>
    </x:row>
    <x:row r="72" ht="23" customHeight="1">
      <x:c r="A72" s="2" t="str">
        <x:v>Equipment and support subtotal</x:v>
      </x:c>
      <x:c r="B72" s="2"/>
      <x:c r="C72" s="8"/>
      <x:c r="D72" s="8"/>
      <x:c r="E72" s="8" t="n">
        <x:f>SUM(E58:E71)</x:f>
        <x:v>13739.560000000001</x:v>
      </x:c>
      <x:c r="F72" s="8" t="n">
        <x:f>SUM(F58:F71)</x:f>
        <x:v>25625.5</x:v>
      </x:c>
      <x:c r="G72" s="2"/>
      <x:c r="H72" s="2"/>
      <x:c r="I72" s="2"/>
      <x:c r="J72" s="2"/>
      <x:c r="K72" s="2"/>
      <x:c r="L72" s="2"/>
    </x:row>
    <x:row r="73" ht="23" customHeight="1">
      <x:c r="A73" s="2" t="str">
        <x:v>Percentage reserve from Parts inputs</x:v>
      </x:c>
      <x:c r="B73" s="2"/>
      <x:c r="C73" s="8"/>
      <x:c r="D73" s="8"/>
      <x:c r="E73" s="8" t="n">
        <x:f>E72*Parts!D32</x:f>
        <x:v>2060.934</x:v>
      </x:c>
      <x:c r="F73" s="8" t="n">
        <x:f>F72*Parts!E32</x:f>
        <x:v>3843.825</x:v>
      </x:c>
      <x:c r="G73" s="2"/>
      <x:c r="H73" s="2"/>
      <x:c r="I73" s="2"/>
      <x:c r="J73" s="2"/>
      <x:c r="K73" s="2"/>
      <x:c r="L73" s="2"/>
    </x:row>
    <x:row r="74" ht="23" customHeight="1">
      <x:c r="A74" s="26" t="str">
        <x:v>Planning total</x:v>
      </x:c>
      <x:c r="B74" s="26"/>
      <x:c r="C74" s="27"/>
      <x:c r="D74" s="27"/>
      <x:c r="E74" s="27" t="n">
        <x:f>SUM(E72:E73)</x:f>
        <x:v>15800.494000000002</x:v>
      </x:c>
      <x:c r="F74" s="27" t="n">
        <x:f>SUM(F72:F73)</x:f>
        <x:v>29469.325</x:v>
      </x:c>
      <x:c r="G74" s="26"/>
      <x:c r="H74" s="2"/>
      <x:c r="I74" s="2"/>
      <x:c r="J74" s="2"/>
      <x:c r="K74" s="2"/>
      <x:c r="L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43" hidden="0" customWidth="1"/>
    <x:col min="3" max="3" width="40" hidden="0" customWidth="1"/>
    <x:col min="4" max="4" width="15" hidden="0" customWidth="1"/>
    <x:col min="5" max="5" width="15" hidden="0" customWidth="1"/>
    <x:col min="6" max="6" width="32" hidden="0" customWidth="1"/>
    <x:col min="7" max="7" width="40" hidden="0" customWidth="1"/>
    <x:col min="8" max="8" width="65" hidden="0" customWidth="1"/>
    <x:col min="9" max="9" width="3" hidden="0" customWidth="1"/>
    <x:col min="10" max="10" width="65" hidden="0" customWidth="1"/>
    <x:col min="11" max="11" width="65" hidden="0" customWidth="1"/>
    <x:col min="12" max="12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Part prices and allowances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 t="str">
        <x:v>October 9, 2026. Asking prices exclude Houston shipping/tax. Blue values are editable inputs.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Estimates are planning allowances. Listings can be cached, expire or vary by location.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7" t="str">
        <x:v>ID</x:v>
      </x:c>
      <x:c r="B6" s="7" t="str">
        <x:v>Part or allowance</x:v>
      </x:c>
      <x:c r="C6" s="7" t="str">
        <x:v>Role</x:v>
      </x:c>
      <x:c r="D6" s="7" t="str">
        <x:v>Low USD</x:v>
      </x:c>
      <x:c r="E6" s="7" t="str">
        <x:v>High USD</x:v>
      </x:c>
      <x:c r="F6" s="7" t="str">
        <x:v>Price basis</x:v>
      </x:c>
      <x:c r="G6" s="7" t="str">
        <x:v>Condition</x:v>
      </x:c>
      <x:c r="H6" s="7" t="str">
        <x:v>Limits</x:v>
      </x:c>
      <x:c r="I6" s="14" t="str"/>
      <x:c r="J6" s="7" t="str">
        <x:v>Price source</x:v>
      </x:c>
      <x:c r="K6" s="7" t="str">
        <x:v>Specification or alternate source</x:v>
      </x:c>
      <x:c r="L6" s="7" t="str">
        <x:v>Checked</x:v>
      </x:c>
    </x:row>
    <x:row r="7" ht="76" customHeight="1">
      <x:c r="A7" s="2" t="str">
        <x:v>audio_budget</x:v>
      </x:c>
      <x:c r="B7" s="10" t="str">
        <x:v>Behringer UMC204HD</x:v>
      </x:c>
      <x:c r="C7" s="10" t="str">
        <x:v>USB audio playback and microphone input</x:v>
      </x:c>
      <x:c r="D7" s="18" t="n">
        <x:v>97.98</x:v>
      </x:c>
      <x:c r="E7" s="18" t="n">
        <x:v>97.98</x:v>
      </x:c>
      <x:c r="F7" s="10" t="str">
        <x:v>eBay asking price</x:v>
      </x:c>
      <x:c r="G7" s="10" t="str">
        <x:v>New; Sweetwater</x:v>
      </x:c>
      <x:c r="H7" s="10" t="str">
        <x:v>Audible-band candidate. Verify software, physical output routing, and timing.</x:v>
      </x:c>
      <x:c r="I7" s="14"/>
      <x:c r="J7" s="20" t="str">
        <x:v>https://www.ebay.com/itm/267676379715</x:v>
      </x:c>
      <x:c r="K7" s="20" t="str">
        <x:v>https://www.behringer.com/en/products/0805-AAS</x:v>
      </x:c>
      <x:c r="L7" s="17" t="d">
        <x:v>2026-10-09T12:00:00.000Z</x:v>
      </x:c>
    </x:row>
    <x:row r="8" ht="76" customHeight="1">
      <x:c r="A8" s="2" t="str">
        <x:v>audio_choice</x:v>
      </x:c>
      <x:c r="B8" s="10" t="str">
        <x:v>UMC204HD or MOTU M4</x:v>
      </x:c>
      <x:c r="C8" s="10" t="str">
        <x:v>Practical audio interface alternatives</x:v>
      </x:c>
      <x:c r="D8" s="18" t="n">
        <x:v>97.98</x:v>
      </x:c>
      <x:c r="E8" s="18" t="n">
        <x:v>279.95</x:v>
      </x:c>
      <x:c r="F8" s="10" t="str">
        <x:v>Two eBay asking prices</x:v>
      </x:c>
      <x:c r="G8" s="10" t="str">
        <x:v>New; one interface only</x:v>
      </x:c>
      <x:c r="H8" s="10" t="str">
        <x:v>High column substitutes M4 for UMC204HD; do not buy both.</x:v>
      </x:c>
      <x:c r="I8" s="14"/>
      <x:c r="J8" s="20" t="str">
        <x:v>https://www.ebay.com/itm/267676379715</x:v>
      </x:c>
      <x:c r="K8" s="20" t="str">
        <x:v>https://www.ebay.com/itm/165277457274</x:v>
      </x:c>
      <x:c r="L8" s="17" t="d">
        <x:v>2026-10-09T12:00:00.000Z</x:v>
      </x:c>
    </x:row>
    <x:row r="9" ht="76" customHeight="1">
      <x:c r="A9" s="2" t="str">
        <x:v>speaker_audible</x:v>
      </x:c>
      <x:c r="B9" s="10" t="str">
        <x:v>JBL 305P MkII single speaker</x:v>
      </x:c>
      <x:c r="C9" s="10" t="str">
        <x:v>Wired powered sound output</x:v>
      </x:c>
      <x:c r="D9" s="18" t="n">
        <x:v>99.99</x:v>
      </x:c>
      <x:c r="E9" s="18" t="n">
        <x:v>99.99</x:v>
      </x:c>
      <x:c r="F9" s="10" t="str">
        <x:v>eBay asking price</x:v>
      </x:c>
      <x:c r="G9" s="10" t="str">
        <x:v>Used; seller says functional; no returns</x:v>
      </x:c>
      <x:c r="H9" s="10" t="str">
        <x:v>Manufacturer band 49 Hz to 20 kHz ±3 dB; no ultrasound claim. One speaker, not a pair.</x:v>
      </x:c>
      <x:c r="I9" s="14"/>
      <x:c r="J9" s="20" t="str">
        <x:v>https://www.ebay.com/itm/316907728739</x:v>
      </x:c>
      <x:c r="K9" s="20" t="str">
        <x:v>https://jblpro.com/en-US/products/305p-mkii?hl=en-US</x:v>
      </x:c>
      <x:c r="L9" s="17" t="d">
        <x:v>2026-10-09T12:00:00.000Z</x:v>
      </x:c>
    </x:row>
    <x:row r="10" ht="76" customHeight="1">
      <x:c r="A10" s="2" t="str">
        <x:v>mic_audible</x:v>
      </x:c>
      <x:c r="B10" s="10" t="str">
        <x:v>Dayton EMM-6</x:v>
      </x:c>
      <x:c r="C10" s="10" t="str">
        <x:v>Analog measurement microphone</x:v>
      </x:c>
      <x:c r="D10" s="18" t="n">
        <x:v>66.93</x:v>
      </x:c>
      <x:c r="E10" s="18" t="n">
        <x:v>66.93</x:v>
      </x:c>
      <x:c r="F10" s="10" t="str">
        <x:v>eBay asking price</x:v>
      </x:c>
      <x:c r="G10" s="10" t="str">
        <x:v>New; Parts Express</x:v>
      </x:c>
      <x:c r="H10" s="10" t="str">
        <x:v>18 Hz to 20 kHz; serial frequency file plus separate SPL gain-chain calibration. Needs XLR and phantom power.</x:v>
      </x:c>
      <x:c r="I10" s="14"/>
      <x:c r="J10" s="20" t="str">
        <x:v>https://www.ebay.com/itm/221495576606</x:v>
      </x:c>
      <x:c r="K10" s="20" t="str">
        <x:v>https://www.daytonaudio.com/product/911/emm-6-electret-measurement-microphone</x:v>
      </x:c>
      <x:c r="L10" s="17" t="d">
        <x:v>2026-10-09T12:00:00.000Z</x:v>
      </x:c>
    </x:row>
    <x:row r="11" ht="76" customHeight="1">
      <x:c r="A11" s="2" t="str">
        <x:v>chassis</x:v>
      </x:c>
      <x:c r="B11" s="10" t="str">
        <x:v>NI PXIe-1082</x:v>
      </x:c>
      <x:c r="C11" s="10" t="str">
        <x:v>Holds and powers NI modules</x:v>
      </x:c>
      <x:c r="D11" s="18" t="n">
        <x:v>2650</x:v>
      </x:c>
      <x:c r="E11" s="18" t="n">
        <x:v>6495</x:v>
      </x:c>
      <x:c r="F11" s="10" t="str">
        <x:v>Two eBay asking prices</x:v>
      </x:c>
      <x:c r="G11" s="10" t="str">
        <x:v>Used; lower overseas and higher domestic examples</x:v>
      </x:c>
      <x:c r="H11" s="10" t="str">
        <x:v>Hybrid slots required for PXI-4461 variant. No acquisition cards included by assumption.</x:v>
      </x:c>
      <x:c r="I11" s="14"/>
      <x:c r="J11" s="20" t="str">
        <x:v>https://www.ebay.com/itm/406923647348</x:v>
      </x:c>
      <x:c r="K11" s="20" t="str">
        <x:v>https://www.ebay.com/itm/327362567074</x:v>
      </x:c>
      <x:c r="L11" s="17" t="d">
        <x:v>2026-10-09T12:00:00.000Z</x:v>
      </x:c>
    </x:row>
    <x:row r="12" ht="76" customHeight="1">
      <x:c r="A12" s="2" t="str">
        <x:v>daq_pxie</x:v>
      </x:c>
      <x:c r="B12" s="10" t="str">
        <x:v>NI PXIe-6363</x:v>
      </x:c>
      <x:c r="C12" s="10" t="str">
        <x:v>Analog and digital acquisition and timing</x:v>
      </x:c>
      <x:c r="D12" s="18" t="n">
        <x:v>2495.36</x:v>
      </x:c>
      <x:c r="E12" s="18" t="n">
        <x:v>2495.36</x:v>
      </x:c>
      <x:c r="F12" s="10" t="str">
        <x:v>eBay asking price</x:v>
      </x:c>
      <x:c r="G12" s="10" t="str">
        <x:v>Used; seller says tested</x:v>
      </x:c>
      <x:c r="H12" s="10" t="str">
        <x:v>Both low and high use this listing. Cheaper conflicting-brand listing excluded.</x:v>
      </x:c>
      <x:c r="I12" s="14"/>
      <x:c r="J12" s="20" t="str">
        <x:v>https://www.ebay.com/itm/335905594499</x:v>
      </x:c>
      <x:c r="K12" s="20" t="str">
        <x:v>https://www.ni.com/docs/en-US/bundle/pxie-6363-specs/page/specs.html</x:v>
      </x:c>
      <x:c r="L12" s="17" t="d">
        <x:v>2026-10-09T12:00:00.000Z</x:v>
      </x:c>
    </x:row>
    <x:row r="13" ht="76" customHeight="1">
      <x:c r="A13" s="2" t="str">
        <x:v>audio_pxi</x:v>
      </x:c>
      <x:c r="B13" s="10" t="str">
        <x:v>NI PXI-4461</x:v>
      </x:c>
      <x:c r="C13" s="10" t="str">
        <x:v>Two-channel sound output and input</x:v>
      </x:c>
      <x:c r="D13" s="18" t="n">
        <x:v>571.33</x:v>
      </x:c>
      <x:c r="E13" s="18" t="n">
        <x:v>571.33</x:v>
      </x:c>
      <x:c r="F13" s="10" t="str">
        <x:v>Conditional eBay asking price</x:v>
      </x:c>
      <x:c r="G13" s="10" t="str">
        <x:v>Used; seller says tested</x:v>
      </x:c>
      <x:c r="H13" s="10" t="str">
        <x:v>Rear-connector/version unconfirmed. Only hybrid-compatible variant fits PXIe-1082; price is a lead, not a compatible system offer.</x:v>
      </x:c>
      <x:c r="I13" s="14"/>
      <x:c r="J13" s="20" t="str">
        <x:v>https://www.ebay.com/itm/287382668232</x:v>
      </x:c>
      <x:c r="K13" s="20" t="str">
        <x:v>https://knowledge.ni.com/KnowledgeArticleDetails?id=kA00Z000000P8eUSAS</x:v>
      </x:c>
      <x:c r="L13" s="17" t="d">
        <x:v>2026-10-09T12:00:00.000Z</x:v>
      </x:c>
    </x:row>
    <x:row r="14" ht="76" customHeight="1">
      <x:c r="A14" s="2" t="str">
        <x:v>mxi_chassis</x:v>
      </x:c>
      <x:c r="B14" s="10" t="str">
        <x:v>NI PXIe-8360</x:v>
      </x:c>
      <x:c r="C14" s="10" t="str">
        <x:v>MXI controller in NI chassis</x:v>
      </x:c>
      <x:c r="D14" s="18" t="n">
        <x:v>493.2</x:v>
      </x:c>
      <x:c r="E14" s="18" t="n">
        <x:v>493.2</x:v>
      </x:c>
      <x:c r="F14" s="10" t="str">
        <x:v>eBay asking price</x:v>
      </x:c>
      <x:c r="G14" s="10" t="str">
        <x:v>Used; seller says tested</x:v>
      </x:c>
      <x:c r="H14" s="10" t="str">
        <x:v>Do not substitute PXI-8360.</x:v>
      </x:c>
      <x:c r="I14" s="14"/>
      <x:c r="J14" s="20" t="str">
        <x:v>https://www.ebay.com/itm/286812339947</x:v>
      </x:c>
      <x:c r="K14" s="20" t="str">
        <x:v>https://docs-be.ni.com/bundle/373259d/raw/resource/enus/373259d.pdf</x:v>
      </x:c>
      <x:c r="L14" s="17" t="d">
        <x:v>2026-10-09T12:00:00.000Z</x:v>
      </x:c>
    </x:row>
    <x:row r="15" ht="76" customHeight="1">
      <x:c r="A15" s="2" t="str">
        <x:v>mxi_pc</x:v>
      </x:c>
      <x:c r="B15" s="10" t="str">
        <x:v>NI PCIe-8361</x:v>
      </x:c>
      <x:c r="C15" s="10" t="str">
        <x:v>MXI interface in desktop PC</x:v>
      </x:c>
      <x:c r="D15" s="18" t="n">
        <x:v>197</x:v>
      </x:c>
      <x:c r="E15" s="18" t="n">
        <x:v>197</x:v>
      </x:c>
      <x:c r="F15" s="10" t="str">
        <x:v>eBay asking price</x:v>
      </x:c>
      <x:c r="G15" s="10" t="str">
        <x:v>New seller claim; Houston</x:v>
      </x:c>
      <x:c r="H15" s="10" t="str">
        <x:v>Requires available desktop PCIe slot; verify exact card/MPN.</x:v>
      </x:c>
      <x:c r="I15" s="14"/>
      <x:c r="J15" s="20" t="str">
        <x:v>https://www.ebay.com/itm/187559567628</x:v>
      </x:c>
      <x:c r="K15" s="20" t="str">
        <x:v>https://docs-be.ni.com/bundle/373259d/raw/resource/enus/373259d.pdf</x:v>
      </x:c>
      <x:c r="L15" s="17" t="d">
        <x:v>2026-10-09T12:00:00.000Z</x:v>
      </x:c>
    </x:row>
    <x:row r="16" ht="76" customHeight="1">
      <x:c r="A16" s="2" t="str">
        <x:v>mxi_cable</x:v>
      </x:c>
      <x:c r="B16" s="10" t="str">
        <x:v>NI MXI cable 779500-03</x:v>
      </x:c>
      <x:c r="C16" s="10" t="str">
        <x:v>3 m desktop-to-chassis cable</x:v>
      </x:c>
      <x:c r="D16" s="18" t="n">
        <x:v>89.85</x:v>
      </x:c>
      <x:c r="E16" s="18" t="n">
        <x:v>89.85</x:v>
      </x:c>
      <x:c r="F16" s="10" t="str">
        <x:v>eBay asking price</x:v>
      </x:c>
      <x:c r="G16" s="10" t="str">
        <x:v>New seller claim</x:v>
      </x:c>
      <x:c r="H16" s="10" t="str">
        <x:v>Title identifies 779500-03; MPN 193355A-03. Confirm connectors.</x:v>
      </x:c>
      <x:c r="I16" s="14"/>
      <x:c r="J16" s="20" t="str">
        <x:v>https://www.ebay.com/itm/307193912690</x:v>
      </x:c>
      <x:c r="K16" s="20" t="str"/>
      <x:c r="L16" s="17" t="d">
        <x:v>2026-10-09T12:00:00.000Z</x:v>
      </x:c>
    </x:row>
    <x:row r="17" ht="76" customHeight="1">
      <x:c r="A17" s="2" t="str">
        <x:v>daq_cable</x:v>
      </x:c>
      <x:c r="B17" s="10" t="str">
        <x:v>NI SHC68-68-EPM</x:v>
      </x:c>
      <x:c r="C17" s="10" t="str">
        <x:v>DAQ-to-breakout cable</x:v>
      </x:c>
      <x:c r="D17" s="18" t="n">
        <x:v>89.99</x:v>
      </x:c>
      <x:c r="E17" s="18" t="n">
        <x:v>89.99</x:v>
      </x:c>
      <x:c r="F17" s="10" t="str">
        <x:v>eBay asking price</x:v>
      </x:c>
      <x:c r="G17" s="10" t="str">
        <x:v>Used; 2 m</x:v>
      </x:c>
      <x:c r="H17" s="10" t="str">
        <x:v>One connector bank; two only if the final channel map needs both.</x:v>
      </x:c>
      <x:c r="I17" s="14"/>
      <x:c r="J17" s="20" t="str">
        <x:v>https://www.ebay.com/itm/277089841525</x:v>
      </x:c>
      <x:c r="K17" s="20" t="str">
        <x:v>https://www.ni.com/en/support/documentation/cable-accessory-guide/daq-multifunction-i-o-cable-accessory-compatibility/main-page---daq-multifunction-i-o-cable-and-accessory-compatibil/63xx-models.html</x:v>
      </x:c>
      <x:c r="L17" s="17" t="d">
        <x:v>2026-10-09T12:00:00.000Z</x:v>
      </x:c>
    </x:row>
    <x:row r="18" ht="76" customHeight="1">
      <x:c r="A18" s="2" t="str">
        <x:v>breakout</x:v>
      </x:c>
      <x:c r="B18" s="10" t="str">
        <x:v>NI BNC-2090A</x:v>
      </x:c>
      <x:c r="C18" s="10" t="str">
        <x:v>Accessible BNC and timing connectors</x:v>
      </x:c>
      <x:c r="D18" s="18" t="n">
        <x:v>613.77</x:v>
      </x:c>
      <x:c r="E18" s="18" t="n">
        <x:v>613.77</x:v>
      </x:c>
      <x:c r="F18" s="10" t="str">
        <x:v>eBay asking price</x:v>
      </x:c>
      <x:c r="G18" s="10" t="str">
        <x:v>Used; seller says working; no returns displayed</x:v>
      </x:c>
      <x:c r="H18" s="10" t="str">
        <x:v>One breakout; channel map and grounding remain open.</x:v>
      </x:c>
      <x:c r="I18" s="14"/>
      <x:c r="J18" s="20" t="str">
        <x:v>https://www.ebay.com/itm/358482820683</x:v>
      </x:c>
      <x:c r="K18" s="20" t="str">
        <x:v>https://www.ni.com/en/support/documentation/cable-accessory-guide/daq-multifunction-i-o-cable-accessory-compatibility/main-page---daq-multifunction-i-o-cable-and-accessory-compatibil/63xx-models.html</x:v>
      </x:c>
      <x:c r="L18" s="17" t="d">
        <x:v>2026-10-09T12:00:00.000Z</x:v>
      </x:c>
    </x:row>
    <x:row r="19" ht="76" customHeight="1">
      <x:c r="A19" s="2" t="str">
        <x:v>ed1_power</x:v>
      </x:c>
      <x:c r="B19" s="10" t="str">
        <x:v>TDT ED1 and compatible zBus power</x:v>
      </x:c>
      <x:c r="C19" s="10" t="str">
        <x:v>Drives electrostatic speaker</x:v>
      </x:c>
      <x:c r="D19" s="21" t="n">
        <x:v>209.06</x:v>
      </x:c>
      <x:c r="E19" s="21" t="n">
        <x:v>3500</x:v>
      </x:c>
      <x:c r="F19" s="10" t="str">
        <x:v>Low eBay bundle; high estimate</x:v>
      </x:c>
      <x:c r="G19" s="10" t="str">
        <x:v>Low: used ED1/HB7/PS25F/zBus bundle</x:v>
      </x:c>
      <x:c r="H19" s="10" t="str">
        <x:v>High is replacement planning allowance, not a quote. Low bundle excludes ES1 and accessories. Seller testing unverified.</x:v>
      </x:c>
      <x:c r="I19" s="14"/>
      <x:c r="J19" s="20" t="str">
        <x:v>https://www.ebay.com/itm/156873696386</x:v>
      </x:c>
      <x:c r="K19" s="20" t="str">
        <x:v>https://www.tdt.com/docs/hardware/ed1-electrostatic-speaker-driver/</x:v>
      </x:c>
      <x:c r="L19" s="17" t="d">
        <x:v>2026-10-09T12:00:00.000Z</x:v>
      </x:c>
    </x:row>
    <x:row r="20" ht="76" customHeight="1">
      <x:c r="A20" s="2" t="str">
        <x:v>speaker_es1</x:v>
      </x:c>
      <x:c r="B20" s="10" t="str">
        <x:v>TDT ES1 with matching speaker cable</x:v>
      </x:c>
      <x:c r="C20" s="10" t="str">
        <x:v>Higher-frequency electrostatic sound output</x:v>
      </x:c>
      <x:c r="D20" s="21" t="n">
        <x:v>1500</x:v>
      </x:c>
      <x:c r="E20" s="21" t="n">
        <x:v>2500</x:v>
      </x:c>
      <x:c r="F20" s="10" t="str">
        <x:v>Estimate; no reliable eBay price</x:v>
      </x:c>
      <x:c r="G20" s="10" t="str">
        <x:v>Supplier quote or borrowing needed</x:v>
      </x:c>
      <x:c r="H20" s="10" t="str">
        <x:v>4 to 110 kHz stated band. Low tones below 4 kHz unsuitable. Exact kit/availability and cable must be quoted.</x:v>
      </x:c>
      <x:c r="I20" s="14"/>
      <x:c r="J20" s="20" t="str">
        <x:v>https://www.tdt.com/docs/hardware/ec1-es1-electrostatic-speaker/</x:v>
      </x:c>
      <x:c r="K20" s="20" t="str">
        <x:v>https://www.tdt.com/request-a-quote/</x:v>
      </x:c>
      <x:c r="L20" s="17" t="d">
        <x:v>2026-10-09T12:00:00.000Z</x:v>
      </x:c>
    </x:row>
    <x:row r="21" ht="76" customHeight="1">
      <x:c r="A21" s="2" t="str">
        <x:v>mic_ultrasound</x:v>
      </x:c>
      <x:c r="B21" s="10" t="str">
        <x:v>Avisoft CM16/CMPA48AAF-5V 40026</x:v>
      </x:c>
      <x:c r="C21" s="10" t="str">
        <x:v>Microphone, preamp, polarization and filter</x:v>
      </x:c>
      <x:c r="D21" s="18" t="n">
        <x:v>2580</x:v>
      </x:c>
      <x:c r="E21" s="18" t="n">
        <x:v>2580</x:v>
      </x:c>
      <x:c r="F21" s="10" t="str">
        <x:v>Manufacturer USD list price</x:v>
      </x:c>
      <x:c r="G21" s="10" t="str">
        <x:v>Complete external-acquisition microphone kit</x:v>
      </x:c>
      <x:c r="H21" s="10" t="str">
        <x:v>2 to 200 kHz stated band. Includes preamp/filter/cables/mini tripod; needs external 5 V 52 mA and matched NI input setup.</x:v>
      </x:c>
      <x:c r="I21" s="14"/>
      <x:c r="J21" s="20" t="str">
        <x:v>https://avisoft.com/price-list-ordering-information/</x:v>
      </x:c>
      <x:c r="K21" s="20" t="str">
        <x:v>https://avisoft.com/ultrasound-microphones/cm16-cmpa/</x:v>
      </x:c>
      <x:c r="L21" s="17" t="d">
        <x:v>2026-10-09T12:00:00.000Z</x:v>
      </x:c>
    </x:row>
    <x:row r="22" ht="76" customHeight="1">
      <x:c r="A22" s="2" t="str">
        <x:v>daq_usb</x:v>
      </x:c>
      <x:c r="B22" s="10" t="str">
        <x:v>NI USB-6361 781442-01</x:v>
      </x:c>
      <x:c r="C22" s="10" t="str">
        <x:v>USB timed waveform, acquisition and events</x:v>
      </x:c>
      <x:c r="D22" s="18" t="n">
        <x:v>3030.42</x:v>
      </x:c>
      <x:c r="E22" s="18" t="n">
        <x:v>3030.42</x:v>
      </x:c>
      <x:c r="F22" s="10" t="str">
        <x:v>Newark public unit price</x:v>
      </x:c>
      <x:c r="G22" s="10" t="str">
        <x:v>New; page displayed one in stock</x:v>
      </x:c>
      <x:c r="H22" s="10" t="str">
        <x:v>Screw-terminal desktop package. Confirm accessories/power cord and full waveform/filter performance. No PXI rack required.</x:v>
      </x:c>
      <x:c r="I22" s="14"/>
      <x:c r="J22" s="20" t="str">
        <x:v>https://www.newark.com/ni-now-part-of-emerson/781442-01/multifunction-i-o-device-usb-6361/dp/14AJ5341</x:v>
      </x:c>
      <x:c r="K22" s="20" t="str">
        <x:v>https://www.ni.com/en/shop/hardware/voltage/model-usb-6361</x:v>
      </x:c>
      <x:c r="L22" s="17" t="d">
        <x:v>2026-10-09T12:00:00.000Z</x:v>
      </x:c>
    </x:row>
    <x:row r="23" ht="76" customHeight="1">
      <x:c r="A23" s="2" t="str">
        <x:v>minimum_accessories</x:v>
      </x:c>
      <x:c r="B23" s="10" t="str">
        <x:v>Minimum cables and mounts</x:v>
      </x:c>
      <x:c r="C23" s="10" t="str">
        <x:v>XLR, wired speaker cable, USB and fixed supports</x:v>
      </x:c>
      <x:c r="D23" s="21" t="n">
        <x:v>80</x:v>
      </x:c>
      <x:c r="E23" s="21" t="n">
        <x:v>80</x:v>
      </x:c>
      <x:c r="F23" s="10" t="str">
        <x:v>Planning allowance</x:v>
      </x:c>
      <x:c r="G23" s="10" t="str">
        <x:v>Models/quantities open</x:v>
      </x:c>
      <x:c r="H23" s="10" t="str">
        <x:v>Requires suitable existing PC, borrowed SPL reference and an already compatible neural timing connection.</x:v>
      </x:c>
      <x:c r="I23" s="14"/>
      <x:c r="J23" s="20" t="str"/>
      <x:c r="K23" s="20" t="str"/>
      <x:c r="L23" s="17" t="d">
        <x:v>2026-10-09T12:00:00.000Z</x:v>
      </x:c>
    </x:row>
    <x:row r="24" ht="76" customHeight="1">
      <x:c r="A24" s="2" t="str">
        <x:v>audible_accessories</x:v>
      </x:c>
      <x:c r="B24" s="10" t="str">
        <x:v>Practical audible cables and mounts</x:v>
      </x:c>
      <x:c r="C24" s="10" t="str">
        <x:v>Cables, stable geometry and physical loopback</x:v>
      </x:c>
      <x:c r="D24" s="21" t="n">
        <x:v>100</x:v>
      </x:c>
      <x:c r="E24" s="21" t="n">
        <x:v>150</x:v>
      </x:c>
      <x:c r="F24" s="10" t="str">
        <x:v>Planning allowance</x:v>
      </x:c>
      <x:c r="G24" s="10" t="str">
        <x:v>Models/quantities open</x:v>
      </x:c>
      <x:c r="H24" s="10" t="str">
        <x:v>Powered JBL already includes amplification; no separate amplifier counted.</x:v>
      </x:c>
      <x:c r="I24" s="14"/>
      <x:c r="J24" s="20" t="str"/>
      <x:c r="K24" s="20" t="str"/>
      <x:c r="L24" s="17" t="d">
        <x:v>2026-10-09T12:00:00.000Z</x:v>
      </x:c>
    </x:row>
    <x:row r="25" ht="76" customHeight="1">
      <x:c r="A25" s="2" t="str">
        <x:v>audible_calibration</x:v>
      </x:c>
      <x:c r="B25" s="10" t="str">
        <x:v>Audible SPL reference access</x:v>
      </x:c>
      <x:c r="C25" s="10" t="str">
        <x:v>Borrowing, rental or reference support</x:v>
      </x:c>
      <x:c r="D25" s="21" t="n">
        <x:v>300</x:v>
      </x:c>
      <x:c r="E25" s="21" t="n">
        <x:v>400</x:v>
      </x:c>
      <x:c r="F25" s="10" t="str">
        <x:v>Planning allowance; quote needed</x:v>
      </x:c>
      <x:c r="G25" s="10" t="str">
        <x:v>Reference method not yet selected</x:v>
      </x:c>
      <x:c r="H25" s="10" t="str">
        <x:v>Does not guarantee purchase of a traceable calibrator or all-band calibration service.</x:v>
      </x:c>
      <x:c r="I25" s="14"/>
      <x:c r="J25" s="20" t="str"/>
      <x:c r="K25" s="20" t="str"/>
      <x:c r="L25" s="17" t="d">
        <x:v>2026-10-09T12:00:00.000Z</x:v>
      </x:c>
    </x:row>
    <x:row r="26" ht="76" customHeight="1">
      <x:c r="A26" s="2" t="str">
        <x:v>audible_sync</x:v>
      </x:c>
      <x:c r="B26" s="10" t="str">
        <x:v>Recorder timing interface</x:v>
      </x:c>
      <x:c r="C26" s="10" t="str">
        <x:v>Matched analog reference or conditioned marker</x:v>
      </x:c>
      <x:c r="D26" s="21" t="n">
        <x:v>250</x:v>
      </x:c>
      <x:c r="E26" s="21" t="n">
        <x:v>350</x:v>
      </x:c>
      <x:c r="F26" s="10" t="str">
        <x:v>Planning allowance; model open</x:v>
      </x:c>
      <x:c r="G26" s="10" t="str">
        <x:v>Exact neural recorder unknown</x:v>
      </x:c>
      <x:c r="H26" s="10" t="str">
        <x:v>May be near zero with compatible lab inputs, or exceed allowance if another acquisition device is required. Audio line out is not TTL.</x:v>
      </x:c>
      <x:c r="I26" s="14"/>
      <x:c r="J26" s="20" t="str"/>
      <x:c r="K26" s="20" t="str"/>
      <x:c r="L26" s="17" t="d">
        <x:v>2026-10-09T12:00:00.000Z</x:v>
      </x:c>
    </x:row>
    <x:row r="27" ht="76" customHeight="1">
      <x:c r="A27" s="2" t="str">
        <x:v>wide_calibration</x:v>
      </x:c>
      <x:c r="B27" s="10" t="str">
        <x:v>Band-appropriate acoustic calibration</x:v>
      </x:c>
      <x:c r="C27" s="10" t="str">
        <x:v>SPL, response and physical onset checks</x:v>
      </x:c>
      <x:c r="D27" s="21" t="n">
        <x:v>1500</x:v>
      </x:c>
      <x:c r="E27" s="21" t="n">
        <x:v>3000</x:v>
      </x:c>
      <x:c r="F27" s="10" t="str">
        <x:v>Planning allowance; quote needed</x:v>
      </x:c>
      <x:c r="G27" s="10" t="str">
        <x:v>Frequency-specific plan open</x:v>
      </x:c>
      <x:c r="H27" s="10" t="str">
        <x:v>Single-frequency reference does not establish the complete ultrasonic response.</x:v>
      </x:c>
      <x:c r="I27" s="14"/>
      <x:c r="J27" s="20" t="str"/>
      <x:c r="K27" s="20" t="str"/>
      <x:c r="L27" s="17" t="d">
        <x:v>2026-10-09T12:00:00.000Z</x:v>
      </x:c>
    </x:row>
    <x:row r="28" ht="76" customHeight="1">
      <x:c r="A28" s="2" t="str">
        <x:v>wide_support</x:v>
      </x:c>
      <x:c r="B28" s="10" t="str">
        <x:v>Wide-band support and timing parts</x:v>
      </x:c>
      <x:c r="C28" s="10" t="str">
        <x:v>BNC wiring, fixtures, marker conditioning and mic power</x:v>
      </x:c>
      <x:c r="D28" s="21" t="n">
        <x:v>750</x:v>
      </x:c>
      <x:c r="E28" s="21" t="n">
        <x:v>1500</x:v>
      </x:c>
      <x:c r="F28" s="10" t="str">
        <x:v>Planning allowance; models open</x:v>
      </x:c>
      <x:c r="G28" s="10" t="str">
        <x:v>Final channel map unknown</x:v>
      </x:c>
      <x:c r="H28" s="10" t="str">
        <x:v>Includes external 5 V supply if needed. Included microphone kit parts are not bought twice.</x:v>
      </x:c>
      <x:c r="I28" s="14"/>
      <x:c r="J28" s="20" t="str"/>
      <x:c r="K28" s="20" t="str"/>
      <x:c r="L28" s="17" t="d">
        <x:v>2026-10-09T12:00:00.000Z</x:v>
      </x:c>
    </x:row>
    <x:row r="29" ht="76" customHeight="1">
      <x:c r="A29" s="2" t="str">
        <x:v>computer</x:v>
      </x:c>
      <x:c r="B29" s="10" t="str">
        <x:v>Computer and storage</x:v>
      </x:c>
      <x:c r="C29" s="10" t="str">
        <x:v>Runs generation and saves records</x:v>
      </x:c>
      <x:c r="D29" s="21" t="n">
        <x:v>0</x:v>
      </x:c>
      <x:c r="E29" s="21" t="n">
        <x:v>1500</x:v>
      </x:c>
      <x:c r="F29" s="10" t="str">
        <x:v>Reuse assumption or package allowance</x:v>
      </x:c>
      <x:c r="G29" s="10" t="str">
        <x:v>Lab inventory unconfirmed</x:v>
      </x:c>
      <x:c r="H29" s="10" t="str">
        <x:v>Full PXI route requires compatible desktop and free PCIe slot. Neural data capacity/export to confirm.</x:v>
      </x:c>
      <x:c r="I29" s="14"/>
      <x:c r="J29" s="20" t="str"/>
      <x:c r="K29" s="20" t="str"/>
      <x:c r="L29" s="17" t="d">
        <x:v>2026-10-09T12:00:00.000Z</x:v>
      </x:c>
    </x:row>
    <x:row r="30" ht="76" customHeight="1">
      <x:c r="A30" s="2" t="str">
        <x:v>minimum_reserve</x:v>
      </x:c>
      <x:c r="B30" s="10" t="str">
        <x:v>Minimum delivery and tax reserve</x:v>
      </x:c>
      <x:c r="C30" s="10" t="str">
        <x:v>Shipping, tax and small omissions</x:v>
      </x:c>
      <x:c r="D30" s="18" t="n">
        <x:v>80</x:v>
      </x:c>
      <x:c r="E30" s="18" t="n">
        <x:v>80</x:v>
      </x:c>
      <x:c r="F30" s="10" t="str">
        <x:v>Fixed planning reserve</x:v>
      </x:c>
      <x:c r="G30" s="10" t="str">
        <x:v>Houston checkout not performed</x:v>
      </x:c>
      <x:c r="H30" s="10" t="str">
        <x:v>Not a tax-rate assumption or guaranteed landed price.</x:v>
      </x:c>
      <x:c r="I30" s="14"/>
      <x:c r="J30" s="20" t="str"/>
      <x:c r="K30" s="20" t="str"/>
      <x:c r="L30" s="17" t="d">
        <x:v>2026-10-09T12:00:00.000Z</x:v>
      </x:c>
    </x:row>
    <x:row r="31" ht="76" customHeight="1">
      <x:c r="A31" s="2" t="str">
        <x:v>audible_reserve</x:v>
      </x:c>
      <x:c r="B31" s="10" t="str">
        <x:v>Practical audible reserve</x:v>
      </x:c>
      <x:c r="C31" s="10" t="str">
        <x:v>Shipping, tax and small omissions</x:v>
      </x:c>
      <x:c r="D31" s="18" t="n">
        <x:v>200</x:v>
      </x:c>
      <x:c r="E31" s="18" t="n">
        <x:v>250</x:v>
      </x:c>
      <x:c r="F31" s="10" t="str">
        <x:v>Fixed planning reserve</x:v>
      </x:c>
      <x:c r="G31" s="10" t="str">
        <x:v>Houston checkout not performed</x:v>
      </x:c>
      <x:c r="H31" s="10" t="str">
        <x:v>Do not add displayed non-Houston shipping again.</x:v>
      </x:c>
      <x:c r="I31" s="14"/>
      <x:c r="J31" s="20" t="str"/>
      <x:c r="K31" s="20" t="str"/>
      <x:c r="L31" s="17" t="d">
        <x:v>2026-10-09T12:00:00.000Z</x:v>
      </x:c>
    </x:row>
    <x:row r="32" ht="76" customHeight="1">
      <x:c r="A32" s="2" t="str">
        <x:v>wide_reserve_rate</x:v>
      </x:c>
      <x:c r="B32" s="10" t="str">
        <x:v>Wide-band reserve fraction</x:v>
      </x:c>
      <x:c r="C32" s="10" t="str">
        <x:v>Shipping, tax, uncertainty and small omissions</x:v>
      </x:c>
      <x:c r="D32" s="22" t="n">
        <x:v>0.15</x:v>
      </x:c>
      <x:c r="E32" s="22" t="n">
        <x:v>0.15</x:v>
      </x:c>
      <x:c r="F32" s="10" t="str">
        <x:v>Planning assumption</x:v>
      </x:c>
      <x:c r="G32" s="10" t="str">
        <x:v>Not a tax rate</x:v>
      </x:c>
      <x:c r="H32" s="10" t="str">
        <x:v>No hard upper limit; supplier quotes and required missing equipment can exceed this allowance.</x:v>
      </x:c>
      <x:c r="I32" s="14"/>
      <x:c r="J32" s="20" t="str"/>
      <x:c r="K32" s="20" t="str"/>
      <x:c r="L32" s="17" t="d">
        <x:v>2026-10-09T12:00:00.000Z</x:v>
      </x:c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14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14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14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14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14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14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14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14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14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14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14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14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14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14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14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14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14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14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14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14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14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14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14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14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14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14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14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14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14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14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14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14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14"/>
      <x:c r="J65" s="2"/>
      <x:c r="K65" s="2"/>
      <x:c r="L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14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14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14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14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14"/>
      <x:c r="J70" s="2"/>
      <x:c r="K70" s="2"/>
      <x:c r="L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14"/>
      <x:c r="J71" s="2"/>
      <x:c r="K71" s="2"/>
      <x:c r="L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14"/>
      <x:c r="J72" s="2"/>
      <x:c r="K72" s="2"/>
      <x:c r="L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14"/>
      <x:c r="J73" s="2"/>
      <x:c r="K73" s="2"/>
      <x:c r="L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14"/>
      <x:c r="J74" s="2"/>
      <x:c r="K74" s="2"/>
      <x:c r="L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14"/>
      <x:c r="J75" s="2"/>
      <x:c r="K75" s="2"/>
      <x:c r="L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14"/>
      <x:c r="J76" s="2"/>
      <x:c r="K76" s="2"/>
      <x:c r="L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14"/>
      <x:c r="J77" s="2"/>
      <x:c r="K77" s="2"/>
      <x:c r="L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14"/>
      <x:c r="J78" s="2"/>
      <x:c r="K78" s="2"/>
      <x:c r="L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14"/>
      <x:c r="J79" s="2"/>
      <x:c r="K79" s="2"/>
      <x:c r="L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14"/>
      <x:c r="J80" s="2"/>
      <x:c r="K80" s="2"/>
      <x:c r="L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14"/>
      <x:c r="J81" s="2"/>
      <x:c r="K81" s="2"/>
      <x:c r="L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14"/>
      <x:c r="J82" s="2"/>
      <x:c r="K82" s="2"/>
      <x:c r="L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14"/>
      <x:c r="J83" s="2"/>
      <x:c r="K83" s="2"/>
      <x:c r="L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14"/>
      <x:c r="J84" s="2"/>
      <x:c r="K84" s="2"/>
      <x:c r="L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14"/>
      <x:c r="J85" s="2"/>
      <x:c r="K85" s="2"/>
      <x:c r="L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14"/>
      <x:c r="J86" s="2"/>
      <x:c r="K86" s="2"/>
      <x:c r="L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14"/>
      <x:c r="J87" s="2"/>
      <x:c r="K87" s="2"/>
      <x:c r="L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14"/>
      <x:c r="J88" s="2"/>
      <x:c r="K88" s="2"/>
      <x:c r="L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14"/>
      <x:c r="J89" s="2"/>
      <x:c r="K89" s="2"/>
      <x:c r="L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14"/>
      <x:c r="J90" s="2"/>
      <x:c r="K90" s="2"/>
      <x:c r="L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14"/>
      <x:c r="J91" s="2"/>
      <x:c r="K91" s="2"/>
      <x:c r="L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14"/>
      <x:c r="J92" s="2"/>
      <x:c r="K92" s="2"/>
      <x:c r="L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14"/>
      <x:c r="J93" s="2"/>
      <x:c r="K93" s="2"/>
      <x:c r="L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14"/>
      <x:c r="J94" s="2"/>
      <x:c r="K94" s="2"/>
      <x:c r="L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14"/>
      <x:c r="J95" s="2"/>
      <x:c r="K95" s="2"/>
      <x:c r="L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14"/>
      <x:c r="J96" s="2"/>
      <x:c r="K96" s="2"/>
      <x:c r="L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14"/>
      <x:c r="J97" s="2"/>
      <x:c r="K97" s="2"/>
      <x:c r="L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14"/>
      <x:c r="J98" s="2"/>
      <x:c r="K98" s="2"/>
      <x:c r="L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14"/>
      <x:c r="J99" s="2"/>
      <x:c r="K99" s="2"/>
      <x:c r="L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14"/>
      <x:c r="J100" s="2"/>
      <x:c r="K100" s="2"/>
      <x:c r="L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</x:sheetData>
  <x:pageMargins left="0.7" right="0.7" top="0.75" bottom="0.75" header="0.3" footer="0.3"/>
</x:worksheet>
</file>